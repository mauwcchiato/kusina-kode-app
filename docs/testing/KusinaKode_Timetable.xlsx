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ess Table" sheetId="1" state="visible" r:id="rId1"/>
    <sheet xmlns:r="http://schemas.openxmlformats.org/officeDocument/2006/relationships" name="Progress" sheetId="2" state="visible" r:id="rId2"/>
    <sheet xmlns:r="http://schemas.openxmlformats.org/officeDocument/2006/relationships" name="Integration and Unit"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b val="1"/>
      <color rgb="FFFFFFFF"/>
      <sz val="11"/>
    </font>
    <font>
      <name val="Arial"/>
      <sz val="11"/>
    </font>
    <font>
      <name val="Arial"/>
      <b val="1"/>
      <sz val="14"/>
    </font>
    <font>
      <name val="Arial"/>
      <i val="1"/>
      <sz val="10"/>
    </font>
    <font>
      <name val="Arial"/>
      <i val="1"/>
      <sz val="9"/>
    </font>
  </fonts>
  <fills count="8">
    <fill>
      <patternFill/>
    </fill>
    <fill>
      <patternFill patternType="gray125"/>
    </fill>
    <fill>
      <patternFill patternType="solid">
        <fgColor rgb="FFCC6B1F"/>
      </patternFill>
    </fill>
    <fill>
      <patternFill patternType="solid">
        <fgColor rgb="FFE3F2E1"/>
      </patternFill>
    </fill>
    <fill>
      <patternFill patternType="solid">
        <fgColor rgb="FFFBE0E0"/>
      </patternFill>
    </fill>
    <fill>
      <patternFill patternType="solid">
        <fgColor rgb="FFF2F2F2"/>
      </patternFill>
    </fill>
    <fill>
      <patternFill patternType="solid">
        <fgColor rgb="FFFDF0D5"/>
      </patternFill>
    </fill>
    <fill>
      <patternFill patternType="solid">
        <fgColor rgb="FFF1E6D2"/>
      </patternFill>
    </fill>
  </fills>
  <borders count="6">
    <border>
      <left/>
      <right/>
      <top/>
      <bottom/>
      <diagonal/>
    </border>
    <border>
      <left style="thin">
        <color rgb="FFBFB2A4"/>
      </left>
      <right style="thin">
        <color rgb="FFBFB2A4"/>
      </right>
      <top style="thin">
        <color rgb="FFBFB2A4"/>
      </top>
      <bottom style="thin">
        <color rgb="FFBFB2A4"/>
      </bottom>
    </border>
    <border>
      <left style="thin">
        <color rgb="FFBFB2A4"/>
      </left>
      <right/>
      <top/>
      <bottom/>
      <diagonal/>
    </border>
    <border>
      <left style="thin">
        <color rgb="FFBFB2A4"/>
      </left>
      <right style="thin">
        <color rgb="FFBFB2A4"/>
      </right>
      <top/>
      <bottom/>
      <diagonal/>
    </border>
    <border>
      <left style="thin">
        <color rgb="FFBFB2A4"/>
      </left>
      <right style="thin">
        <color rgb="FFBFB2A4"/>
      </right>
      <top/>
      <bottom style="thin">
        <color rgb="FFBFB2A4"/>
      </bottom>
      <diagonal/>
    </border>
    <border/>
  </borders>
  <cellStyleXfs count="1">
    <xf numFmtId="0" fontId="0" fillId="0" borderId="0"/>
  </cellStyleXfs>
  <cellXfs count="25">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center" wrapText="1"/>
    </xf>
    <xf numFmtId="0" fontId="1" fillId="7"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horizontal="center" vertical="center" wrapText="1"/>
    </xf>
    <xf numFmtId="0" fontId="0" fillId="0" borderId="3" pivotButton="0" quotePrefix="0" xfId="0"/>
    <xf numFmtId="0" fontId="3" fillId="4" borderId="1" applyAlignment="1" pivotButton="0" quotePrefix="0" xfId="0">
      <alignment horizontal="center" vertical="center" wrapText="1"/>
    </xf>
    <xf numFmtId="0" fontId="1" fillId="7" borderId="3"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0" fillId="0" borderId="3" applyAlignment="1" pivotButton="0" quotePrefix="0" xfId="0">
      <alignment vertical="center" wrapText="1"/>
    </xf>
    <xf numFmtId="0" fontId="0" fillId="0" borderId="4" pivotButton="0" quotePrefix="0" xfId="0"/>
    <xf numFmtId="0" fontId="4" fillId="0" borderId="5" applyAlignment="1" pivotButton="0" quotePrefix="0" xfId="0">
      <alignment vertical="top" wrapText="1"/>
    </xf>
    <xf numFmtId="0" fontId="5" fillId="0" borderId="5" applyAlignment="1" pivotButton="0" quotePrefix="0" xfId="0">
      <alignment vertical="top" wrapText="1"/>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3" fillId="0" borderId="1" applyAlignment="1" pivotButton="0" quotePrefix="0" xfId="0">
      <alignment horizontal="center"/>
    </xf>
    <xf numFmtId="164" fontId="3" fillId="0" borderId="1" applyAlignment="1" pivotButton="0" quotePrefix="0" xfId="0">
      <alignment horizontal="center"/>
    </xf>
    <xf numFmtId="0" fontId="1" fillId="0" borderId="1" applyAlignment="1" pivotButton="0" quotePrefix="0" xfId="0">
      <alignment vertical="top" wrapText="1"/>
    </xf>
    <xf numFmtId="0" fontId="1" fillId="0" borderId="1" applyAlignment="1" pivotButton="0" quotePrefix="0" xfId="0">
      <alignment horizontal="center"/>
    </xf>
    <xf numFmtId="164" fontId="1" fillId="0" borderId="1" applyAlignment="1" pivotButton="0" quotePrefix="0" xfId="0">
      <alignment horizontal="center"/>
    </xf>
    <xf numFmtId="0" fontId="6" fillId="0" borderId="0" applyAlignment="1" pivotButton="0" quotePrefix="0" xfId="0">
      <alignment vertical="top" wrapText="1"/>
    </xf>
    <xf numFmtId="0" fontId="2" fillId="0" borderId="5" applyAlignment="1" pivotButton="0" quotePrefix="0" xfId="0">
      <alignment horizontal="center" vertical="center" wrapText="1"/>
    </xf>
    <xf numFmtId="0" fontId="3"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26" customWidth="1" min="3" max="3"/>
    <col width="46" customWidth="1" min="4" max="4"/>
    <col width="17" customWidth="1" min="5" max="5"/>
    <col width="13" customWidth="1" min="6" max="6"/>
    <col width="17" customWidth="1" min="7" max="7"/>
    <col width="17" customWidth="1" min="8" max="8"/>
    <col width="14" customWidth="1" min="9" max="9"/>
    <col width="60" customWidth="1" min="10" max="10"/>
  </cols>
  <sheetData>
    <row r="1" ht="30" customHeight="1">
      <c r="A1" s="1" t="inlineStr">
        <is>
          <t>Problem Statement</t>
        </is>
      </c>
      <c r="B1" s="1" t="inlineStr">
        <is>
          <t>Objectives</t>
        </is>
      </c>
      <c r="C1" s="1" t="inlineStr">
        <is>
          <t>Scopes</t>
        </is>
      </c>
      <c r="D1" s="1" t="inlineStr">
        <is>
          <t>Features</t>
        </is>
      </c>
      <c r="E1" s="1" t="inlineStr">
        <is>
          <t>Platform</t>
        </is>
      </c>
      <c r="F1" s="1" t="inlineStr">
        <is>
          <t>Status</t>
        </is>
      </c>
      <c r="G1" s="1" t="inlineStr">
        <is>
          <t>Target Date of Completion</t>
        </is>
      </c>
      <c r="H1" s="1" t="inlineStr">
        <is>
          <t>Date of Completion</t>
        </is>
      </c>
      <c r="I1" s="1" t="inlineStr">
        <is>
          <t>Owner</t>
        </is>
      </c>
      <c r="J1" s="1" t="inlineStr">
        <is>
          <t>Remarks</t>
        </is>
      </c>
    </row>
    <row r="2">
      <c r="A2" s="2" t="inlineStr">
        <is>
          <t>How can a blockchain-based, gamified Filipino culinary word-puzzle application support vocabulary and heritage learning while maintaining engagement through gamification and securing rewards through a transparent, tamper-resistant blockchain mechanism?</t>
        </is>
      </c>
      <c r="B2" s="2" t="inlineStr">
        <is>
          <t>Objective 1: Provide a module that will support culinary vocabulary and recipe-based learning and cultural awareness through interactive word puzzles.</t>
        </is>
      </c>
      <c r="C2" s="3" t="inlineStr">
        <is>
          <t>WORD PUZZLE GAME ENGINE</t>
        </is>
      </c>
      <c r="D2" s="4" t="inlineStr">
        <is>
          <t>Letter input validation</t>
        </is>
      </c>
      <c r="E2" s="4" t="inlineStr">
        <is>
          <t>Mobile</t>
        </is>
      </c>
      <c r="F2" s="5" t="inlineStr">
        <is>
          <t>OK</t>
        </is>
      </c>
      <c r="G2" s="4" t="inlineStr"/>
      <c r="H2" s="4" t="inlineStr">
        <is>
          <t>2026-08-10</t>
        </is>
      </c>
      <c r="I2" s="4" t="inlineStr">
        <is>
          <t>Mau</t>
        </is>
      </c>
      <c r="J2" s="4" t="inlineStr">
        <is>
          <t>Rejects incomplete and non-alphabetic guesses at any word length. 10 unit tests.</t>
        </is>
      </c>
    </row>
    <row r="3">
      <c r="B3" s="6" t="n"/>
      <c r="C3" s="6" t="n"/>
      <c r="D3" s="4" t="inlineStr">
        <is>
          <t>Color-coded feedback (correct / misplaced / absent)</t>
        </is>
      </c>
      <c r="E3" s="4" t="inlineStr">
        <is>
          <t>Mobile</t>
        </is>
      </c>
      <c r="F3" s="5" t="inlineStr">
        <is>
          <t>OK</t>
        </is>
      </c>
      <c r="G3" s="4" t="inlineStr"/>
      <c r="H3" s="4" t="inlineStr">
        <is>
          <t>2026-08-10</t>
        </is>
      </c>
      <c r="I3" s="4" t="inlineStr">
        <is>
          <t>Mau</t>
        </is>
      </c>
      <c r="J3" s="4" t="inlineStr">
        <is>
          <t>Two-pass verdict algorithm. Fixed Capstone 1 defect D-01 where repeated letters produced phantom yellow tiles. A/D/X colour legend is tutorial-only, using the KUSINA KODE cream tile outline (2026-09-16).</t>
        </is>
      </c>
    </row>
    <row r="4">
      <c r="B4" s="6" t="n"/>
      <c r="C4" s="6" t="n"/>
      <c r="D4" s="4" t="inlineStr">
        <is>
          <t>Variable-length word support (5, 6, 8+ letters)</t>
        </is>
      </c>
      <c r="E4" s="4" t="inlineStr">
        <is>
          <t>Mobile</t>
        </is>
      </c>
      <c r="F4" s="5" t="inlineStr">
        <is>
          <t>OK</t>
        </is>
      </c>
      <c r="G4" s="4" t="inlineStr"/>
      <c r="H4" s="4" t="inlineStr">
        <is>
          <t>2026-08-10</t>
        </is>
      </c>
      <c r="I4" s="4" t="inlineStr">
        <is>
          <t>Mau</t>
        </is>
      </c>
      <c r="J4" s="4" t="inlineStr">
        <is>
          <t>End to end. Levels 21-27 seeded via migration 002. No fixed 6x6 grid remains.</t>
        </is>
      </c>
    </row>
    <row r="5">
      <c r="B5" s="6" t="n"/>
      <c r="C5" s="6" t="n"/>
      <c r="D5" s="4" t="inlineStr">
        <is>
          <t>Attempt tracking and history logging</t>
        </is>
      </c>
      <c r="E5" s="4" t="inlineStr">
        <is>
          <t>Mobile</t>
        </is>
      </c>
      <c r="F5" s="5" t="inlineStr">
        <is>
          <t>OK</t>
        </is>
      </c>
      <c r="G5" s="4" t="inlineStr"/>
      <c r="H5" s="4" t="inlineStr">
        <is>
          <t>2026-08-10</t>
        </is>
      </c>
      <c r="I5" s="4" t="inlineStr">
        <is>
          <t>Mau</t>
        </is>
      </c>
      <c r="J5" s="4" t="inlineStr">
        <is>
          <t>post_attempt.php records every guess with time_taken_ms (migration 001).</t>
        </is>
      </c>
    </row>
    <row r="6">
      <c r="B6" s="6" t="n"/>
      <c r="C6" s="6" t="n"/>
      <c r="D6" s="4" t="inlineStr">
        <is>
          <t>Max-attempts scaling by word length</t>
        </is>
      </c>
      <c r="E6" s="4" t="inlineStr">
        <is>
          <t>Mobile</t>
        </is>
      </c>
      <c r="F6" s="7" t="inlineStr">
        <is>
          <t>Scope Change</t>
        </is>
      </c>
      <c r="G6" s="4" t="inlineStr"/>
      <c r="H6" s="4" t="inlineStr"/>
      <c r="I6" s="4" t="inlineStr">
        <is>
          <t>Mau</t>
        </is>
      </c>
      <c r="J6" s="4" t="inlineStr">
        <is>
          <t>NOT BUILT AS WRITTEN. Team decided 2026-08-10 on a flat 6 attempts for every dish. Amend this line or reinstate scaling before defense.</t>
        </is>
      </c>
    </row>
    <row r="7">
      <c r="B7" s="6" t="n"/>
      <c r="C7" s="6" t="n"/>
      <c r="D7" s="4" t="inlineStr">
        <is>
          <t>Round resume after leaving the screen</t>
        </is>
      </c>
      <c r="E7" s="4" t="inlineStr">
        <is>
          <t>Mobile</t>
        </is>
      </c>
      <c r="F7" s="5" t="inlineStr">
        <is>
          <t>OK</t>
        </is>
      </c>
      <c r="G7" s="4" t="inlineStr"/>
      <c r="H7" s="4" t="inlineStr">
        <is>
          <t>2026-08-12</t>
        </is>
      </c>
      <c r="I7" s="4" t="inlineStr">
        <is>
          <t>Mau</t>
        </is>
      </c>
      <c r="J7" s="4" t="inlineStr">
        <is>
          <t>SavedRound persisted per account. Defect D-10.</t>
        </is>
      </c>
    </row>
    <row r="8">
      <c r="B8" s="6" t="n"/>
      <c r="C8" s="6" t="n"/>
      <c r="D8" s="4" t="inlineStr">
        <is>
          <t>Player onboarding and How to Play tutorial</t>
        </is>
      </c>
      <c r="E8" s="4" t="inlineStr">
        <is>
          <t>Mobile</t>
        </is>
      </c>
      <c r="F8" s="5" t="inlineStr">
        <is>
          <t>OK</t>
        </is>
      </c>
      <c r="G8" s="4" t="inlineStr"/>
      <c r="H8" s="4" t="inlineStr">
        <is>
          <t>2026-08-10</t>
        </is>
      </c>
      <c r="I8" s="4" t="inlineStr">
        <is>
          <t>UNASSIGNED</t>
        </is>
      </c>
      <c r="J8" s="4" t="inlineStr">
        <is>
          <t>Built and working, but not named in any signed module. Ownership needs confirming. Pause menu (2026-09-06): live Sound FX slider (0–100%) also on Settings; persists and applies mid-round. Settings screen (2026-09-17): cream circle back, parchment cards, circular wells; version/ledger footer gone. Pause overlay (2026-09-16): Resume/leave actions are Compose HUD pills with Be Vietnam Pro ExtraBold; a matching well-width spacer keeps each label in the true center of the candy (D-42). In-game How to Play (2026-09-16): same parchment plate; compact terracotta OK with no check; Spend KK lists Reveal / Bomb / Solve as separate rows. Win bed (D-37) loops through the card pot and CORRECT! until Next Level or Back to Map. Dedicated looping beds (2026-09-06): Learn/KODEX, Wallet, Profile and Leaderboard. Story film (2026-09-16): last frame auto-advances — no tap-to-continue (D-39). Practice Skip sits above the chef overlay so it leaves immediately (D-40).</t>
        </is>
      </c>
    </row>
    <row r="9">
      <c r="B9" s="6" t="n"/>
      <c r="C9" s="8" t="n"/>
      <c r="D9" s="4" t="inlineStr">
        <is>
          <t>Dish dataset schema (history, region, ingredients, procedure, tools, significance)</t>
        </is>
      </c>
      <c r="E9" s="4" t="inlineStr">
        <is>
          <t>Content / Backend</t>
        </is>
      </c>
      <c r="F9" s="5" t="inlineStr">
        <is>
          <t>OK</t>
        </is>
      </c>
      <c r="G9" s="4" t="inlineStr"/>
      <c r="H9" s="4" t="inlineStr">
        <is>
          <t>2026-08-25</t>
        </is>
      </c>
      <c r="I9" s="4" t="inlineStr">
        <is>
          <t>Kyla</t>
        </is>
      </c>
      <c r="J9" s="4" t="inlineStr">
        <is>
          <t>Landed 2026-08-25 from KK-DISHES-INFO.xlsx. DishCatalog.kt holds all 30 dishes with origin story, ingredients, numbered steps, equipment, region, rating, cooking time and a source reference. Generated, not hand-typed, so the sheet stays the single source. Screens read from it - the hand-written sample write-ups and 'curation pending' shells are gone.</t>
        </is>
      </c>
    </row>
    <row r="10">
      <c r="B10" s="6" t="n"/>
      <c r="C10" s="6" t="n"/>
      <c r="D10" s="4" t="inlineStr">
        <is>
          <t>Post-round reveal UI</t>
        </is>
      </c>
      <c r="E10" s="4" t="inlineStr">
        <is>
          <t>Mobile</t>
        </is>
      </c>
      <c r="F10" s="5" t="inlineStr">
        <is>
          <t>OK</t>
        </is>
      </c>
      <c r="G10" s="4" t="inlineStr"/>
      <c r="H10" s="4" t="inlineStr">
        <is>
          <t>2026-08-10</t>
        </is>
      </c>
      <c r="I10" s="4" t="inlineStr">
        <is>
          <t>Kyla</t>
        </is>
      </c>
      <c r="J10" s="4" t="inlineStr">
        <is>
          <t>Win screen leads to the KODEX masterclass dish page with heritage card. Claim Card is a compact PlayNowBrown pill (2026-09-16); CORRECT! Next Level uses the same brown and no arrow. KODEX hub pantry grid (2026-09-03): Featured Ingredients opens All; Rare Ingredients opens the Rare tab. Hub DISHES stack (2026-09-06): only solved dishes; empty card keeps the locked cloche without the 'Solve a dish first' caption (2026-09-16). Palayok ritual (2026-09-06): open 1 after a win; leftovers wait in the pantry. Grant: 6 on first try down to 1 on the last guess; any power-up subtracts 2 (floor 1). KODEX pantry uses one palayok — CHOOSE 1 OR OPEN ALL — then a stacked haul deck (tap or swipe); NEW ingredients sit at the top of the shelf. Live XAMPP (D-44, 2026-09-16): pantry/ and report/ copied into REST so snapshot.php is no longer a 404. Pantry How it Works (2026-09-17): same parchment plate and compact terracotta OK as in-game How to Play. Palayok pick (2026-09-17): congratulations is LEVEL CLEAR game type with no SKIP — a pot has to be chosen; the chosen pot shakes about 3s then the ingredient stays on the spotlight 2s before the card (tap skips); sell confirms then trades through a large Chef's Vault (D-51); while TRADING the sold ingredients keep flying in from the sides and up from the pantry into the stall, then KK flows out. Masterclass header (2026-09-17): cream chrome back, heart and settings matching KODEX; Validated check is green and the toggle reads Sources. Pantry DRAW 1 (2026-09-17): the palayok shakes about 3s then holds the ingredient 2s before the card, same as the win ritual (D-52: pantry DRAW no longer flashes the pot in from the left). OPEN ALL (2026-09-17): the same shake, then every drawn ingredient rings the open palayok (It's opening…) before the haul cards; OPEN ALL and SEE PANTRY use Play Now brown. Baul overlay is a darker scrim.</t>
        </is>
      </c>
    </row>
    <row r="11">
      <c r="B11" s="6" t="n"/>
      <c r="C11" s="6" t="n"/>
      <c r="D11" s="4" t="inlineStr">
        <is>
          <t>Regional coverage expansion (Mindanao: Maranao / Tausug dishes)</t>
        </is>
      </c>
      <c r="E11" s="4" t="inlineStr">
        <is>
          <t>Content</t>
        </is>
      </c>
      <c r="F11" s="5" t="inlineStr">
        <is>
          <t>OK</t>
        </is>
      </c>
      <c r="G11" s="4" t="inlineStr"/>
      <c r="H11" s="4" t="inlineStr">
        <is>
          <t>2026-08-25</t>
        </is>
      </c>
      <c r="I11" s="4" t="inlineStr">
        <is>
          <t>Kyla</t>
        </is>
      </c>
      <c r="J11" s="4" t="inlineStr">
        <is>
          <t>Done 2026-08-25. Mindanao now has 5 researched levels (Tiyula Itum, Piaparan, Pastil, Sinuglaw, Satti) plus Kulma held in reserve - Maranao, Tausug and Maguindanao kitchens all represented. Spread is now Luzon 8 / Visayas 8 / Mindanao 5 / Philippines 6 instead of the old 17/7/3.</t>
        </is>
      </c>
    </row>
    <row r="12">
      <c r="B12" s="6" t="n"/>
      <c r="C12" s="6" t="n"/>
      <c r="D12" s="4" t="inlineStr">
        <is>
          <t>Expert-validated recipe content (Chef Gicana)</t>
        </is>
      </c>
      <c r="E12" s="4" t="inlineStr">
        <is>
          <t>Content</t>
        </is>
      </c>
      <c r="F12" s="9" t="inlineStr">
        <is>
          <t>Not Started</t>
        </is>
      </c>
      <c r="G12" s="4" t="inlineStr"/>
      <c r="H12" s="4" t="inlineStr"/>
      <c r="I12" s="4" t="inlineStr">
        <is>
          <t>Kyla</t>
        </is>
      </c>
      <c r="J12" s="4" t="inlineStr">
        <is>
          <t>Content is now sourced and referenced per dish, but sourced is not endorsed: isValidated stays false and the KODEX still shows 'PREVIEW - expert validation in progress'. Chef Gicana's sign-off is what flips it.</t>
        </is>
      </c>
    </row>
    <row r="13">
      <c r="B13" s="6" t="n"/>
      <c r="C13" s="6" t="n"/>
      <c r="D13" s="4" t="inlineStr">
        <is>
          <t>Dish content API endpoint</t>
        </is>
      </c>
      <c r="E13" s="4" t="inlineStr">
        <is>
          <t>Backend</t>
        </is>
      </c>
      <c r="F13" s="10" t="inlineStr">
        <is>
          <t>In Progress</t>
        </is>
      </c>
      <c r="G13" s="4" t="inlineStr"/>
      <c r="H13" s="4" t="inlineStr"/>
      <c r="I13" s="4" t="inlineStr">
        <is>
          <t>Kyla</t>
        </is>
      </c>
      <c r="J13" s="4" t="inlineStr">
        <is>
          <t>get_levels.php serves word and trivia. Full 6-field content endpoint outstanding. Levels table realigned to the dataset by migration 009 (27 rows, ids kept 1-27 so attempts and unlocks keep their foreign keys). api/lib/islands.php regenerated to match. The phone still reads levels locally - the endpoint serving the full 6-field content is what is outstanding.</t>
        </is>
      </c>
    </row>
    <row r="14">
      <c r="B14" s="11" t="n"/>
      <c r="C14" s="8" t="n"/>
      <c r="D14" s="4" t="inlineStr">
        <is>
          <t>Points calculation on round completion</t>
        </is>
      </c>
      <c r="E14" s="4" t="inlineStr">
        <is>
          <t>Mobile</t>
        </is>
      </c>
      <c r="F14" s="5" t="inlineStr">
        <is>
          <t>OK</t>
        </is>
      </c>
      <c r="G14" s="4" t="inlineStr"/>
      <c r="H14" s="4" t="inlineStr">
        <is>
          <t>2026-08-10</t>
        </is>
      </c>
      <c r="I14" s="4" t="inlineStr">
        <is>
          <t>Alyssa</t>
        </is>
      </c>
      <c r="J14" s="4" t="inlineStr">
        <is>
          <t>Base + unused attempts + speed tier + perfect bonus. 7 unit tests. Consistent across sessions and devices.</t>
        </is>
      </c>
    </row>
    <row r="15">
      <c r="B15" s="6" t="n"/>
      <c r="C15" s="6" t="n"/>
      <c r="D15" s="4" t="inlineStr">
        <is>
          <t>Badge eligibility (round count, streak, perfect score)</t>
        </is>
      </c>
      <c r="E15" s="4" t="inlineStr">
        <is>
          <t>Mobile</t>
        </is>
      </c>
      <c r="F15" s="5" t="inlineStr">
        <is>
          <t>OK</t>
        </is>
      </c>
      <c r="G15" s="4" t="inlineStr"/>
      <c r="H15" s="4" t="inlineStr">
        <is>
          <t>2026-08-10</t>
        </is>
      </c>
      <c r="I15" s="4" t="inlineStr">
        <is>
          <t>Alyssa</t>
        </is>
      </c>
      <c r="J15" s="4" t="inlineStr">
        <is>
          <t>Fires exactly on the threshold and never twice. 8 unit tests plus a DB unique key.</t>
        </is>
      </c>
    </row>
    <row r="16">
      <c r="B16" s="6" t="n"/>
      <c r="C16" s="6" t="n"/>
      <c r="D16" s="4" t="inlineStr">
        <is>
          <t>Leaderboard ranking by accumulated points</t>
        </is>
      </c>
      <c r="E16" s="4" t="inlineStr">
        <is>
          <t>Mobile</t>
        </is>
      </c>
      <c r="F16" s="5" t="inlineStr">
        <is>
          <t>OK</t>
        </is>
      </c>
      <c r="G16" s="4" t="inlineStr"/>
      <c r="H16" s="4" t="inlineStr">
        <is>
          <t>2026-08-10</t>
        </is>
      </c>
      <c r="I16" s="4" t="inlineStr">
        <is>
          <t>Alyssa</t>
        </is>
      </c>
      <c r="J16" s="4" t="inlineStr">
        <is>
          <t>Tie-broken by dishes solved then name. 7 unit tests. Kusina Masters (2026-09-17): cream circle back like Profile; trophy above first place removed. Board chrome (2026-09-17): gold/silver/bronze podium blocks, parchment rank rows, terracotta period pills.</t>
        </is>
      </c>
    </row>
    <row r="17">
      <c r="B17" s="6" t="n"/>
      <c r="C17" s="6" t="n"/>
      <c r="D17" s="4" t="inlineStr">
        <is>
          <t>Progress tracking view (attempt history)</t>
        </is>
      </c>
      <c r="E17" s="4" t="inlineStr">
        <is>
          <t>Mobile</t>
        </is>
      </c>
      <c r="F17" s="5" t="inlineStr">
        <is>
          <t>OK</t>
        </is>
      </c>
      <c r="G17" s="4" t="inlineStr"/>
      <c r="H17" s="4" t="inlineStr">
        <is>
          <t>2026-08-10</t>
        </is>
      </c>
      <c r="I17" s="4" t="inlineStr">
        <is>
          <t>Mau</t>
        </is>
      </c>
      <c r="J17" s="4" t="inlineStr">
        <is>
          <t>Totals, streaks, badges and recent attempts on the Progress screen. Profile Digital Badges (2026-09-17): locked slots keep the icon and lock only — names show after the badge is earned. Edit opens the trophy case (earned and still-to-earn), not See all.</t>
        </is>
      </c>
    </row>
    <row r="18">
      <c r="B18" s="6" t="n"/>
      <c r="C18" s="6" t="n"/>
      <c r="D18" s="4" t="inlineStr">
        <is>
          <t>Blockchain-verification status UI (pending / confirmed)</t>
        </is>
      </c>
      <c r="E18" s="4" t="inlineStr">
        <is>
          <t>Mobile</t>
        </is>
      </c>
      <c r="F18" s="5" t="inlineStr">
        <is>
          <t>OK</t>
        </is>
      </c>
      <c r="G18" s="4" t="inlineStr"/>
      <c r="H18" s="4" t="inlineStr">
        <is>
          <t>2026-08-10</t>
        </is>
      </c>
      <c r="I18" s="4" t="inlineStr">
        <is>
          <t>Alyssa</t>
        </is>
      </c>
      <c r="J18" s="4" t="inlineStr">
        <is>
          <t>Stub as the brief requires. Driven by Badge.tx_hash; markBadgeConfirmed() deliberately caller-less until Module 3.</t>
        </is>
      </c>
    </row>
    <row r="19">
      <c r="B19" s="6" t="n"/>
      <c r="C19" s="6" t="n"/>
      <c r="D19" s="4" t="inlineStr">
        <is>
          <t>Power-ups purchasable with KKCoin</t>
        </is>
      </c>
      <c r="E19" s="4" t="inlineStr">
        <is>
          <t>Mobile</t>
        </is>
      </c>
      <c r="F19" s="5" t="inlineStr">
        <is>
          <t>OK</t>
        </is>
      </c>
      <c r="G19" s="4" t="inlineStr"/>
      <c r="H19" s="4" t="inlineStr">
        <is>
          <t>2026-08-24</t>
        </is>
      </c>
      <c r="I19" s="4" t="inlineStr">
        <is>
          <t>Alyssa</t>
        </is>
      </c>
      <c r="J19" s="4" t="inlineStr">
        <is>
          <t>Reveal 5 KK and Bomb 10 KK both allowed per dish with a 1-minute cooldown between them. Instant Solve is live at 50 KK so it stays rare. XP/points never buy help. POST reward/spend.php prices are server-fixed.</t>
        </is>
      </c>
    </row>
    <row r="20">
      <c r="B20" s="11" t="n"/>
      <c r="C20" s="8" t="n"/>
      <c r="D20" s="4" t="inlineStr">
        <is>
          <t>Phase 1: event trigger + AES-256 encrypt + SHA-256 hash</t>
        </is>
      </c>
      <c r="E20" s="4" t="inlineStr">
        <is>
          <t>Backend / Chain</t>
        </is>
      </c>
      <c r="F20" s="5" t="inlineStr">
        <is>
          <t>OK</t>
        </is>
      </c>
      <c r="G20" s="4" t="inlineStr"/>
      <c r="H20" s="4" t="inlineStr">
        <is>
          <t>2026-08-20</t>
        </is>
      </c>
      <c r="I20" s="4" t="inlineStr">
        <is>
          <t>Alyssa</t>
        </is>
      </c>
      <c r="J20" s="4" t="inlineStr">
        <is>
          <t>Live on XAMPP 2026-08-20: POST /kusinakode/REST/reward/trigger.php returned phase=1 status=pending payload_hash (64 hex) signature=null tx_hash=null. AES-256-GCM then SHA-256 of ciphertext. Pipeline is in api/lib/ + reward/. 12 Phase 1 unit tests PASS.</t>
        </is>
      </c>
    </row>
    <row r="21">
      <c r="B21" s="6" t="n"/>
      <c r="C21" s="6" t="n"/>
      <c r="D21" s="4" t="inlineStr">
        <is>
          <t>Phase 2: transaction assembly + ECDSA sign + PoA validation</t>
        </is>
      </c>
      <c r="E21" s="4" t="inlineStr">
        <is>
          <t>Backend / Chain</t>
        </is>
      </c>
      <c r="F21" s="5" t="inlineStr">
        <is>
          <t>OK</t>
        </is>
      </c>
      <c r="G21" s="4" t="inlineStr"/>
      <c r="H21" s="4" t="inlineStr">
        <is>
          <t>2026-08-20</t>
        </is>
      </c>
      <c r="I21" s="4" t="inlineStr">
        <is>
          <t>Alyssa</t>
        </is>
      </c>
      <c r="J21" s="4" t="inlineStr">
        <is>
          <t>Private Polygon-compatible sidechain with Proof-of-Authority (not public mainnet). Live 2026-08-20: GET reward/status.php advanced tx_ref kk_afa18649… to phase=2 pending with ECDSA signature. Implemented as local PHP PoA on XAMPP — not a public Polygon node yet. PoA unit tests PASS.</t>
        </is>
      </c>
    </row>
    <row r="22">
      <c r="B22" s="6" t="n"/>
      <c r="C22" s="6" t="n"/>
      <c r="D22" s="4" t="inlineStr">
        <is>
          <t>Phase 3: block append + chain sync</t>
        </is>
      </c>
      <c r="E22" s="4" t="inlineStr">
        <is>
          <t>Backend / Chain</t>
        </is>
      </c>
      <c r="F22" s="5" t="inlineStr">
        <is>
          <t>OK</t>
        </is>
      </c>
      <c r="G22" s="4" t="inlineStr"/>
      <c r="H22" s="4" t="inlineStr">
        <is>
          <t>2026-08-20</t>
        </is>
      </c>
      <c r="I22" s="4" t="inlineStr">
        <is>
          <t>Alyssa</t>
        </is>
      </c>
      <c r="J22" s="4" t="inlineStr">
        <is>
          <t>Tamper-evident linking across validator nodes. Live 2026-08-20: same tx_ref advanced to phase=3 pending with block_ref 8a09a18d…. One local chain (api/chain/data) on XAMPP, not multiple Azure validator VMs (Kyla). Chain append + genesis sync unit tests PASS.</t>
        </is>
      </c>
    </row>
    <row r="23">
      <c r="B23" s="6" t="n"/>
      <c r="C23" s="6" t="n"/>
      <c r="D23" s="4" t="inlineStr">
        <is>
          <t>Phase 4: smart contract execution + TxHash receipt</t>
        </is>
      </c>
      <c r="E23" s="4" t="inlineStr">
        <is>
          <t>Backend / Chain</t>
        </is>
      </c>
      <c r="F23" s="5" t="inlineStr">
        <is>
          <t>OK</t>
        </is>
      </c>
      <c r="G23" s="4" t="inlineStr"/>
      <c r="H23" s="4" t="inlineStr">
        <is>
          <t>2026-08-20</t>
        </is>
      </c>
      <c r="I23" s="4" t="inlineStr">
        <is>
          <t>Alyssa</t>
        </is>
      </c>
      <c r="J23" s="4" t="inlineStr">
        <is>
          <t>Smart contract must transfer tokens / mint badge and return a TxHash. Live 2026-08-21: round_win tx_hash 0xe163f183… amount_kk=10. Live 2026-08-24: badge_milestone tx_ref kk_f5236886… phase=4 confirmed tx_hash 0xae5021b2… amount_kk=25; badges.tx_hash pointer set. Azure node is Kyla.</t>
        </is>
      </c>
    </row>
    <row r="24">
      <c r="B24" s="6" t="n"/>
      <c r="C24" s="6" t="n"/>
      <c r="D24" s="4" t="inlineStr">
        <is>
          <t>Reward token contract (ERC-20-style)</t>
        </is>
      </c>
      <c r="E24" s="4" t="inlineStr">
        <is>
          <t>Backend / Chain</t>
        </is>
      </c>
      <c r="F24" s="5" t="inlineStr">
        <is>
          <t>OK</t>
        </is>
      </c>
      <c r="G24" s="4" t="inlineStr"/>
      <c r="H24" s="4" t="inlineStr">
        <is>
          <t>2026-08-21</t>
        </is>
      </c>
      <c r="I24" s="4" t="inlineStr">
        <is>
          <t>Alyssa</t>
        </is>
      </c>
      <c r="J24" s="4" t="inlineStr">
        <is>
          <t>Design choice, not a literal manuscript requirement — confirm with adviser. KKCoin.sol validator-only mintFromPool. Live 2026-08-21: balance_kk=10; live 2026-08-24 after badge mint balance_kk=35 at 0xcb2e9f…. Hardhat suite green 2026-08-25 on Windows/Node 24: npx hardhat test = 5 passing. Config fix: paths.sources was '.' so Hardhat scanned node_modules and failed HH1006 on any machine; sources moved to contracts/src/.</t>
        </is>
      </c>
    </row>
    <row r="25">
      <c r="B25" s="6" t="n"/>
      <c r="C25" s="6" t="n"/>
      <c r="D25" s="4" t="inlineStr">
        <is>
          <t>Badge/achievement contract (ERC-721-style)</t>
        </is>
      </c>
      <c r="E25" s="4" t="inlineStr">
        <is>
          <t>Backend / Chain</t>
        </is>
      </c>
      <c r="F25" s="5" t="inlineStr">
        <is>
          <t>OK</t>
        </is>
      </c>
      <c r="G25" s="4" t="inlineStr"/>
      <c r="H25" s="4" t="inlineStr">
        <is>
          <t>2026-08-24</t>
        </is>
      </c>
      <c r="I25" s="4" t="inlineStr">
        <is>
          <t>Alyssa</t>
        </is>
      </c>
      <c r="J25" s="4" t="inlineStr">
        <is>
          <t>Same design-decision caveat as the token contract. Live 2026-08-24: POST post_badge.php badge_id live-mint-20260824 then status polls reached phase=4 tx_hash 0xae5021b2…. Duplicate POST returned awarded=false tx_ref=null. Chain state has one mint at 0xcb2e9f…|live-mint-20260824. Hardhat suite green 2026-08-25: 5 passing, including the duplicate-mint rejection.</t>
        </is>
      </c>
    </row>
    <row r="26">
      <c r="B26" s="6" t="n"/>
      <c r="C26" s="6" t="n"/>
      <c r="D26" s="4" t="inlineStr">
        <is>
          <t>Custodial wallet management (Key Vault-backed)</t>
        </is>
      </c>
      <c r="E26" s="4" t="inlineStr">
        <is>
          <t>Backend / Chain</t>
        </is>
      </c>
      <c r="F26" s="5" t="inlineStr">
        <is>
          <t>OK</t>
        </is>
      </c>
      <c r="G26" s="4" t="inlineStr"/>
      <c r="H26" s="4" t="inlineStr">
        <is>
          <t>2026-08-24</t>
        </is>
      </c>
      <c r="I26" s="4" t="inlineStr">
        <is>
          <t>Alyssa</t>
        </is>
      </c>
      <c r="J26" s="4" t="inlineStr">
        <is>
          <t>Players never see seed phrases or gas fees. users.wallet_address is a pointer only. Local vault/data seam works. Live 2026-08-24: GET wallet/balance.php returned address 0xcb2e9f… balance_kk=35 is_live=true. phpMyAdmin: browse users_readable / badges_readable / reward_claims_readable / shop_unlocks_readable (migration 008) — original tables stay API-shaped. Azure Key Vault provisioning is Kyla.</t>
        </is>
      </c>
    </row>
    <row r="27">
      <c r="B27" s="6" t="n"/>
      <c r="C27" s="6" t="n"/>
      <c r="D27" s="4" t="inlineStr">
        <is>
          <t>POST /api/reward/trigger.php</t>
        </is>
      </c>
      <c r="E27" s="4" t="inlineStr">
        <is>
          <t>Backend / Chain</t>
        </is>
      </c>
      <c r="F27" s="5" t="inlineStr">
        <is>
          <t>OK</t>
        </is>
      </c>
      <c r="G27" s="4" t="inlineStr"/>
      <c r="H27" s="4" t="inlineStr">
        <is>
          <t>2026-08-20</t>
        </is>
      </c>
      <c r="I27" s="4" t="inlineStr">
        <is>
          <t>Alyssa</t>
        </is>
      </c>
      <c r="J27" s="4" t="inlineStr">
        <is>
          <t>Fires after a verified game/badge event; returns tx_ref with status=pending. Live 2026-08-20: POST does Phase 1 only so Phases 2-4 stay separable (they advance on GET status.php).</t>
        </is>
      </c>
    </row>
    <row r="28">
      <c r="B28" s="6" t="n"/>
      <c r="C28" s="6" t="n"/>
      <c r="D28" s="4" t="inlineStr">
        <is>
          <t>GET /api/reward/status.php</t>
        </is>
      </c>
      <c r="E28" s="4" t="inlineStr">
        <is>
          <t>Backend / Chain</t>
        </is>
      </c>
      <c r="F28" s="5" t="inlineStr">
        <is>
          <t>OK</t>
        </is>
      </c>
      <c r="G28" s="4" t="inlineStr"/>
      <c r="H28" s="4" t="inlineStr">
        <is>
          <t>2026-08-20</t>
        </is>
      </c>
      <c r="I28" s="4" t="inlineStr">
        <is>
          <t>Alyssa</t>
        </is>
      </c>
      <c r="J28" s="4" t="inlineStr">
        <is>
          <t>Poll status of a pending reward transaction. Live 2026-08-20/21: same tx_ref walked phase 2 then 3 then 4 to confirmed.</t>
        </is>
      </c>
    </row>
    <row r="29">
      <c r="B29" s="6" t="n"/>
      <c r="C29" s="6" t="n"/>
      <c r="D29" s="4" t="inlineStr">
        <is>
          <t>GET /api/wallet/balance.php</t>
        </is>
      </c>
      <c r="E29" s="4" t="inlineStr">
        <is>
          <t>Backend / Chain</t>
        </is>
      </c>
      <c r="F29" s="5" t="inlineStr">
        <is>
          <t>OK</t>
        </is>
      </c>
      <c r="G29" s="4" t="inlineStr"/>
      <c r="H29" s="4" t="inlineStr">
        <is>
          <t>2026-08-21</t>
        </is>
      </c>
      <c r="I29" s="4" t="inlineStr">
        <is>
          <t>Alyssa</t>
        </is>
      </c>
      <c r="J29" s="4" t="inlineStr">
        <is>
          <t>Read-only token balance for the custodial wallet. Live 2026-08-21: balance_kk=10. Live 2026-08-24 after badge mint: balance_kk=35 at 0xcb2e9f… is_live=true. No keys in the response.</t>
        </is>
      </c>
    </row>
    <row r="30">
      <c r="B30" s="6" t="n"/>
      <c r="C30" s="6" t="n"/>
      <c r="D30" s="4" t="inlineStr">
        <is>
          <t>GET /api/audit/log.php and GET /api/audit/tx.php</t>
        </is>
      </c>
      <c r="E30" s="4" t="inlineStr">
        <is>
          <t>Backend / Chain</t>
        </is>
      </c>
      <c r="F30" s="5" t="inlineStr">
        <is>
          <t>OK</t>
        </is>
      </c>
      <c r="G30" s="4" t="inlineStr"/>
      <c r="H30" s="4" t="inlineStr">
        <is>
          <t>2026-08-24</t>
        </is>
      </c>
      <c r="I30" s="4" t="inlineStr">
        <is>
          <t>Alyssa</t>
        </is>
      </c>
      <c r="J30" s="4" t="inlineStr">
        <is>
          <t>Required by the admin audit panel. Live 2026-08-24: player token got 403; admin GET audit/log.php returned the badge_milestone receipt; GET audit/tx.php?hash=0xae5021b2… returned the same row. Yow dashboard UI is a separate Not Started row. Auth (2026-09-17): account_signup and account_login receipts land here so login/sign-up are covered by the same chain as rewards.</t>
        </is>
      </c>
    </row>
    <row r="31">
      <c r="B31" s="6" t="n"/>
      <c r="C31" s="6" t="n"/>
      <c r="D31" s="4" t="inlineStr">
        <is>
          <t>Mobile wallet and reward UI (balance, verifying → verified, TxHash)</t>
        </is>
      </c>
      <c r="E31" s="4" t="inlineStr">
        <is>
          <t>Mobile</t>
        </is>
      </c>
      <c r="F31" s="5" t="inlineStr">
        <is>
          <t>OK</t>
        </is>
      </c>
      <c r="G31" s="4" t="inlineStr"/>
      <c r="H31" s="4" t="inlineStr">
        <is>
          <t>2026-08-24</t>
        </is>
      </c>
      <c r="I31" s="4" t="inlineStr">
        <is>
          <t>Alyssa</t>
        </is>
      </c>
      <c r="J31" s="4" t="inlineStr">
        <is>
          <t>Player-facing display only. +10 KK per new dish (replay +0). Badge +25 is claimed on Rewards. Island +15 KK (2026-09-17): CLAIM then CLAIMED on How to Earn — not auto-minted — and a system + inbox notice. Shops: Kusina Reel, KODEX Pantry, Chef's Atelier portrait frames. Kusina Reel restyled 2026-09-03 to match the Rewards header (cream circle back button, KK coin instead of the letters KK) and a 2-by-2 grid of dish-photo posters from REELS-DISHES.zip — 30 dish reels. Recent History lists the caller's TxHash receipts from GET reward/history.php.</t>
        </is>
      </c>
    </row>
    <row r="32">
      <c r="B32" s="11" t="n"/>
      <c r="C32" s="8" t="n"/>
      <c r="D32" s="4" t="inlineStr">
        <is>
          <t>User CRUD and search</t>
        </is>
      </c>
      <c r="E32" s="4" t="inlineStr">
        <is>
          <t>Web</t>
        </is>
      </c>
      <c r="F32" s="10" t="inlineStr">
        <is>
          <t>In Progress</t>
        </is>
      </c>
      <c r="G32" s="4" t="inlineStr"/>
      <c r="H32" s="4" t="inlineStr"/>
      <c r="I32" s="4" t="inlineStr">
        <is>
          <t>Yow</t>
        </is>
      </c>
      <c r="J32" s="4" t="inlineStr">
        <is>
          <t>ASP.NET Web Forms CRUD exists from Capstone 1. Search and Capstone 2 refresh outstanding.</t>
        </is>
      </c>
    </row>
    <row r="33">
      <c r="B33" s="6" t="n"/>
      <c r="C33" s="6" t="n"/>
      <c r="D33" s="4" t="inlineStr">
        <is>
          <t>Dish/content CRUD (all 6 cultural fields)</t>
        </is>
      </c>
      <c r="E33" s="4" t="inlineStr">
        <is>
          <t>Web</t>
        </is>
      </c>
      <c r="F33" s="10" t="inlineStr">
        <is>
          <t>In Progress</t>
        </is>
      </c>
      <c r="G33" s="4" t="inlineStr"/>
      <c r="H33" s="4" t="inlineStr"/>
      <c r="I33" s="4" t="inlineStr">
        <is>
          <t>Yow</t>
        </is>
      </c>
      <c r="J33" s="4" t="inlineStr">
        <is>
          <t>Blocked on the validated dataset.</t>
        </is>
      </c>
    </row>
    <row r="34">
      <c r="B34" s="6" t="n"/>
      <c r="C34" s="6" t="n"/>
      <c r="D34" s="4" t="inlineStr">
        <is>
          <t>Blockchain audit panel (log + transaction detail)</t>
        </is>
      </c>
      <c r="E34" s="4" t="inlineStr">
        <is>
          <t>Web</t>
        </is>
      </c>
      <c r="F34" s="9" t="inlineStr">
        <is>
          <t>Not Started</t>
        </is>
      </c>
      <c r="G34" s="4" t="inlineStr"/>
      <c r="H34" s="4" t="inlineStr"/>
      <c r="I34" s="4" t="inlineStr">
        <is>
          <t>Yow</t>
        </is>
      </c>
      <c r="J34" s="4" t="inlineStr">
        <is>
          <t>Backend live-checked 2026-08-24 (admin 200, player 403). Dashboard UI still outstanding.</t>
        </is>
      </c>
    </row>
    <row r="35">
      <c r="B35" s="6" t="n"/>
      <c r="C35" s="6" t="n"/>
      <c r="D35" s="4" t="inlineStr">
        <is>
          <t>Role-based access enforcement (Player vs Admin)</t>
        </is>
      </c>
      <c r="E35" s="4" t="inlineStr">
        <is>
          <t>Web</t>
        </is>
      </c>
      <c r="F35" s="10" t="inlineStr">
        <is>
          <t>In Progress</t>
        </is>
      </c>
      <c r="G35" s="4" t="inlineStr"/>
      <c r="H35" s="4" t="inlineStr"/>
      <c r="I35" s="4" t="inlineStr">
        <is>
          <t>Yow</t>
        </is>
      </c>
      <c r="J35" s="4" t="inlineStr">
        <is>
          <t>Backend ready: users.role (migration 004) and kk_require_admin(). Dashboard enforcement outstanding.</t>
        </is>
      </c>
    </row>
    <row r="36">
      <c r="B36" s="11" t="n"/>
      <c r="C36" s="8" t="n"/>
      <c r="D36" s="4" t="inlineStr">
        <is>
          <t>Login and sign-up (mobile)</t>
        </is>
      </c>
      <c r="E36" s="4" t="inlineStr">
        <is>
          <t>Mobile</t>
        </is>
      </c>
      <c r="F36" s="5" t="inlineStr">
        <is>
          <t>OK</t>
        </is>
      </c>
      <c r="G36" s="4" t="inlineStr"/>
      <c r="H36" s="4" t="inlineStr">
        <is>
          <t>2026-08-10</t>
        </is>
      </c>
      <c r="I36" s="4" t="inlineStr">
        <is>
          <t>UNASSIGNED</t>
        </is>
      </c>
      <c r="J36" s="4" t="inlineStr">
        <is>
          <t>Built and working but not named in any signed module. Ownership needs confirming. Profile (2026-09-17): extra space under the handle before the stat tiles; the pencil opens a ledger-ticket overlay instead of an inline editor; email and Sign Out live only on Settings. Continue Learning (2026-09-17): full region taglines on Profile and Home; tapping Luzon/Visayas/Mindanao/Philippines opens that island map, See all opens All. Settings (2026-09-17): cream HeaderCircleButton back like Progress; parchment cards with circular icon wells; version and custodial-wallet footer removed. Chain (2026-09-17): register.php and login.php write 0 KK account_signup / account_login receipts through the same four-phase pipeline as rewards. Passwords and emails never go on-chain. Sign-up appears in On-Chain Activity; logins stay on the admin audit log so the inbox is not a session dump.</t>
        </is>
      </c>
    </row>
    <row r="37">
      <c r="B37" s="6" t="n"/>
      <c r="C37" s="6" t="n"/>
      <c r="D37" s="4" t="inlineStr">
        <is>
          <t>Bearer-token session and per-account authorisation</t>
        </is>
      </c>
      <c r="E37" s="4" t="inlineStr">
        <is>
          <t>Backend</t>
        </is>
      </c>
      <c r="F37" s="5" t="inlineStr">
        <is>
          <t>OK</t>
        </is>
      </c>
      <c r="G37" s="4" t="inlineStr"/>
      <c r="H37" s="4" t="inlineStr">
        <is>
          <t>2026-08-12</t>
        </is>
      </c>
      <c r="I37" s="4" t="inlineStr">
        <is>
          <t>Alyssa</t>
        </is>
      </c>
      <c r="J37" s="4" t="inlineStr">
        <is>
          <t>Identity derived from the credential, never a user_id in the request. Defect D-14. 12 API checks.</t>
        </is>
      </c>
    </row>
    <row r="38">
      <c r="B38" s="6" t="n"/>
      <c r="C38" s="6" t="n"/>
      <c r="D38" s="4" t="inlineStr">
        <is>
          <t>Password reset with expiring OTP</t>
        </is>
      </c>
      <c r="E38" s="4" t="inlineStr">
        <is>
          <t>Backend</t>
        </is>
      </c>
      <c r="F38" s="5" t="inlineStr">
        <is>
          <t>OK</t>
        </is>
      </c>
      <c r="G38" s="4" t="inlineStr"/>
      <c r="H38" s="4" t="inlineStr">
        <is>
          <t>2026-08-17</t>
        </is>
      </c>
      <c r="I38" s="4" t="inlineStr">
        <is>
          <t>Alyssa</t>
        </is>
      </c>
      <c r="J38" s="4" t="inlineStr">
        <is>
          <t>Reset code no longer returned in the API response (critical defect D-20). Requires SMTP to be usable off localhost.</t>
        </is>
      </c>
    </row>
    <row r="39">
      <c r="B39" s="6" t="n"/>
      <c r="C39" s="6" t="n"/>
      <c r="D39" s="4" t="inlineStr">
        <is>
          <t>Brute-force throttling and account lockout</t>
        </is>
      </c>
      <c r="E39" s="4" t="inlineStr">
        <is>
          <t>Backend</t>
        </is>
      </c>
      <c r="F39" s="5" t="inlineStr">
        <is>
          <t>OK</t>
        </is>
      </c>
      <c r="G39" s="4" t="inlineStr"/>
      <c r="H39" s="4" t="inlineStr">
        <is>
          <t>2026-09-02</t>
        </is>
      </c>
      <c r="I39" s="4" t="inlineStr">
        <is>
          <t>Alyssa</t>
        </is>
      </c>
      <c r="J39" s="4" t="inlineStr">
        <is>
          <t>Login lockout is per email/username only (8 fails / 15 min). Same-IP accounts stay independent. Register reset and reward still count identifier or IP. Defect D-21 then D-33.</t>
        </is>
      </c>
    </row>
    <row r="40">
      <c r="B40" s="6" t="n"/>
      <c r="C40" s="6" t="n"/>
      <c r="D40" s="4" t="inlineStr">
        <is>
          <t>Server-side session revocation on sign-out</t>
        </is>
      </c>
      <c r="E40" s="4" t="inlineStr">
        <is>
          <t>Backend + Mobile</t>
        </is>
      </c>
      <c r="F40" s="5" t="inlineStr">
        <is>
          <t>OK</t>
        </is>
      </c>
      <c r="G40" s="4" t="inlineStr"/>
      <c r="H40" s="4" t="inlineStr">
        <is>
          <t>2026-08-17</t>
        </is>
      </c>
      <c r="I40" s="4" t="inlineStr">
        <is>
          <t>Alyssa</t>
        </is>
      </c>
      <c r="J40" s="4" t="inlineStr">
        <is>
          <t>logout.php revokes the calling token or all sessions. Defect D-25.</t>
        </is>
      </c>
    </row>
    <row r="41">
      <c r="B41" s="6" t="n"/>
      <c r="C41" s="6" t="n"/>
      <c r="D41" s="4" t="inlineStr">
        <is>
          <t>Azure AD B2C authentication and RBAC</t>
        </is>
      </c>
      <c r="E41" s="4" t="inlineStr">
        <is>
          <t>Cloud</t>
        </is>
      </c>
      <c r="F41" s="9" t="inlineStr">
        <is>
          <t>Not Started</t>
        </is>
      </c>
      <c r="G41" s="4" t="inlineStr"/>
      <c r="H41" s="4" t="inlineStr"/>
      <c r="I41" s="4" t="inlineStr">
        <is>
          <t>Kyla + Alyssa</t>
        </is>
      </c>
      <c r="J41" s="4" t="inlineStr">
        <is>
          <t>Interim tokens are B2C-shaped so only auth.php changes.</t>
        </is>
      </c>
    </row>
    <row r="42">
      <c r="B42" s="6" t="n"/>
      <c r="C42" s="8" t="n"/>
      <c r="D42" s="4" t="inlineStr">
        <is>
          <t>Azure VM (PHP REST API + blockchain node)</t>
        </is>
      </c>
      <c r="E42" s="4" t="inlineStr">
        <is>
          <t>Cloud</t>
        </is>
      </c>
      <c r="F42" s="9" t="inlineStr">
        <is>
          <t>Not Started</t>
        </is>
      </c>
      <c r="G42" s="4" t="inlineStr"/>
      <c r="H42" s="4" t="inlineStr"/>
      <c r="I42" s="4" t="inlineStr">
        <is>
          <t>Kyla</t>
        </is>
      </c>
      <c r="J42" s="4" t="inlineStr"/>
    </row>
    <row r="43">
      <c r="B43" s="6" t="n"/>
      <c r="C43" s="6" t="n"/>
      <c r="D43" s="4" t="inlineStr">
        <is>
          <t>Azure App Service (admin dashboard hosting)</t>
        </is>
      </c>
      <c r="E43" s="4" t="inlineStr">
        <is>
          <t>Cloud</t>
        </is>
      </c>
      <c r="F43" s="9" t="inlineStr">
        <is>
          <t>Not Started</t>
        </is>
      </c>
      <c r="G43" s="4" t="inlineStr"/>
      <c r="H43" s="4" t="inlineStr"/>
      <c r="I43" s="4" t="inlineStr">
        <is>
          <t>Kyla</t>
        </is>
      </c>
      <c r="J43" s="4" t="inlineStr"/>
    </row>
    <row r="44">
      <c r="B44" s="6" t="n"/>
      <c r="C44" s="6" t="n"/>
      <c r="D44" s="4" t="inlineStr">
        <is>
          <t>Azure SQL Database (relational data)</t>
        </is>
      </c>
      <c r="E44" s="4" t="inlineStr">
        <is>
          <t>Cloud</t>
        </is>
      </c>
      <c r="F44" s="9" t="inlineStr">
        <is>
          <t>Not Started</t>
        </is>
      </c>
      <c r="G44" s="4" t="inlineStr"/>
      <c r="H44" s="4" t="inlineStr"/>
      <c r="I44" s="4" t="inlineStr">
        <is>
          <t>Kyla</t>
        </is>
      </c>
      <c r="J44" s="4" t="inlineStr"/>
    </row>
    <row r="45">
      <c r="B45" s="6" t="n"/>
      <c r="C45" s="6" t="n"/>
      <c r="D45" s="4" t="inlineStr">
        <is>
          <t>Azure Cosmos DB (dish/recipe content)</t>
        </is>
      </c>
      <c r="E45" s="4" t="inlineStr">
        <is>
          <t>Cloud</t>
        </is>
      </c>
      <c r="F45" s="9" t="inlineStr">
        <is>
          <t>Not Started</t>
        </is>
      </c>
      <c r="G45" s="4" t="inlineStr"/>
      <c r="H45" s="4" t="inlineStr"/>
      <c r="I45" s="4" t="inlineStr">
        <is>
          <t>Kyla</t>
        </is>
      </c>
      <c r="J45" s="4" t="inlineStr"/>
    </row>
    <row r="46">
      <c r="B46" s="6" t="n"/>
      <c r="C46" s="6" t="n"/>
      <c r="D46" s="4" t="inlineStr">
        <is>
          <t>Azure Blob Storage (images)</t>
        </is>
      </c>
      <c r="E46" s="4" t="inlineStr">
        <is>
          <t>Cloud</t>
        </is>
      </c>
      <c r="F46" s="9" t="inlineStr">
        <is>
          <t>Not Started</t>
        </is>
      </c>
      <c r="G46" s="4" t="inlineStr"/>
      <c r="H46" s="4" t="inlineStr"/>
      <c r="I46" s="4" t="inlineStr">
        <is>
          <t>Kyla</t>
        </is>
      </c>
      <c r="J46" s="4" t="inlineStr"/>
    </row>
    <row r="47">
      <c r="B47" s="6" t="n"/>
      <c r="C47" s="6" t="n"/>
      <c r="D47" s="4" t="inlineStr">
        <is>
          <t>Azure Key Vault (secrets)</t>
        </is>
      </c>
      <c r="E47" s="4" t="inlineStr">
        <is>
          <t>Cloud</t>
        </is>
      </c>
      <c r="F47" s="9" t="inlineStr">
        <is>
          <t>Not Started</t>
        </is>
      </c>
      <c r="G47" s="4" t="inlineStr"/>
      <c r="H47" s="4" t="inlineStr"/>
      <c r="I47" s="4" t="inlineStr">
        <is>
          <t>Kyla</t>
        </is>
      </c>
      <c r="J47" s="4" t="inlineStr">
        <is>
          <t>Seam built: config.php reads every secret from the environment with a local fallback, so no code changes to deploy.</t>
        </is>
      </c>
    </row>
    <row r="48">
      <c r="B48" s="6" t="n"/>
      <c r="C48" s="6" t="n"/>
      <c r="D48" s="4" t="inlineStr">
        <is>
          <t>HTTPS/TLS transport</t>
        </is>
      </c>
      <c r="E48" s="4" t="inlineStr">
        <is>
          <t>Cloud</t>
        </is>
      </c>
      <c r="F48" s="9" t="inlineStr">
        <is>
          <t>Not Started</t>
        </is>
      </c>
      <c r="G48" s="4" t="inlineStr"/>
      <c r="H48" s="4" t="inlineStr"/>
      <c r="I48" s="4" t="inlineStr">
        <is>
          <t>Mau</t>
        </is>
      </c>
      <c r="J48" s="4" t="inlineStr">
        <is>
          <t>HIGH PRIORITY. Traffic is currently plaintext HTTP, so passwords and tokens are readable on the network.</t>
        </is>
      </c>
    </row>
    <row r="49">
      <c r="B49" s="6" t="n"/>
      <c r="C49" s="6" t="n"/>
      <c r="D49" s="4" t="inlineStr">
        <is>
          <t>Replace hard-coded LAN endpoint with the Azure host</t>
        </is>
      </c>
      <c r="E49" s="4" t="inlineStr">
        <is>
          <t>Mobile + Cloud</t>
        </is>
      </c>
      <c r="F49" s="9" t="inlineStr">
        <is>
          <t>Not Started</t>
        </is>
      </c>
      <c r="G49" s="4" t="inlineStr"/>
      <c r="H49" s="4" t="inlineStr"/>
      <c r="I49" s="4" t="inlineStr">
        <is>
          <t>Mau</t>
        </is>
      </c>
      <c r="J49" s="4" t="inlineStr">
        <is>
          <t>Defect D-19. App cannot reach the server after any network change.</t>
        </is>
      </c>
    </row>
    <row r="50">
      <c r="B50" s="6" t="n"/>
      <c r="C50" s="8" t="n"/>
      <c r="D50" s="4" t="inlineStr">
        <is>
          <t>Unit tests per module (5-module breakdown)</t>
        </is>
      </c>
      <c r="E50" s="4" t="inlineStr">
        <is>
          <t>Both</t>
        </is>
      </c>
      <c r="F50" s="10" t="inlineStr">
        <is>
          <t>In Progress</t>
        </is>
      </c>
      <c r="G50" s="4" t="inlineStr"/>
      <c r="H50" s="4" t="inlineStr">
        <is>
          <t>2026-08-17</t>
        </is>
      </c>
      <c r="I50" s="4" t="inlineStr">
        <is>
          <t>Yow</t>
        </is>
      </c>
      <c r="J50" s="4" t="inlineStr">
        <is>
          <t>Modules 1 and 2 fully covered: 82 tests, 0 failures. Module 3 PHP runner 51 passed 0 failed on 2026-08-24. Modules 4 and 5 pending those modules.</t>
        </is>
      </c>
    </row>
    <row r="51">
      <c r="B51" s="6" t="n"/>
      <c r="C51" s="6" t="n"/>
      <c r="D51" s="4" t="inlineStr">
        <is>
          <t>Stress testing (API, DB, blockchain node, mobile rendering)</t>
        </is>
      </c>
      <c r="E51" s="4" t="inlineStr">
        <is>
          <t>Both</t>
        </is>
      </c>
      <c r="F51" s="9" t="inlineStr">
        <is>
          <t>Not Started</t>
        </is>
      </c>
      <c r="G51" s="4" t="inlineStr"/>
      <c r="H51" s="4" t="inlineStr"/>
      <c r="I51" s="4" t="inlineStr">
        <is>
          <t>Yow</t>
        </is>
      </c>
      <c r="J51" s="4" t="inlineStr">
        <is>
          <t>3 of 4 targets blocked. Mobile rendering is NOT blocked and can run today.</t>
        </is>
      </c>
    </row>
    <row r="52">
      <c r="B52" s="6" t="n"/>
      <c r="C52" s="6" t="n"/>
      <c r="D52" s="4" t="inlineStr">
        <is>
          <t>Manuscript-claim-vs-build tracking</t>
        </is>
      </c>
      <c r="E52" s="4" t="inlineStr">
        <is>
          <t>Both</t>
        </is>
      </c>
      <c r="F52" s="5" t="inlineStr">
        <is>
          <t>OK</t>
        </is>
      </c>
      <c r="G52" s="4" t="inlineStr"/>
      <c r="H52" s="4" t="inlineStr">
        <is>
          <t>2026-08-17</t>
        </is>
      </c>
      <c r="I52" s="4" t="inlineStr">
        <is>
          <t>Kyla</t>
        </is>
      </c>
      <c r="J52" s="4" t="inlineStr">
        <is>
          <t>docs/testing/ holds a rebuildable log: unit results parsed from JUnit XML, API checks, defect log, known gaps.</t>
        </is>
      </c>
    </row>
    <row r="53">
      <c r="B53" s="6" t="n"/>
      <c r="C53" s="6" t="n"/>
      <c r="D53" s="4" t="inlineStr">
        <is>
          <t>Clean Architecture layering for the web admin</t>
        </is>
      </c>
      <c r="E53" s="4" t="inlineStr">
        <is>
          <t>Web</t>
        </is>
      </c>
      <c r="F53" s="10" t="inlineStr">
        <is>
          <t>In Progress</t>
        </is>
      </c>
      <c r="G53" s="4" t="inlineStr"/>
      <c r="H53" s="4" t="inlineStr">
        <is>
          <t>2026-08-17</t>
        </is>
      </c>
      <c r="I53" s="4" t="inlineStr">
        <is>
          <t>Yow</t>
        </is>
      </c>
      <c r="J53" s="4" t="inlineStr">
        <is>
          <t>KusinaKode.Domain assembly (netstandard2.0, zero dependencies) with 20 unit tests; repository interfaces; AdminDashboardService; presentation ViewModel. MVVM is not possible in Web Forms — this is Clean Architecture plus a Presentation Model.</t>
        </is>
      </c>
    </row>
    <row r="54">
      <c r="B54" s="6" t="n"/>
      <c r="C54" s="6" t="n"/>
      <c r="D54" s="4" t="inlineStr">
        <is>
          <t>Story Mode - origin story of Kusina Kode (Filipino pixel-art)</t>
        </is>
      </c>
      <c r="E54" s="4" t="inlineStr">
        <is>
          <t>Mobile</t>
        </is>
      </c>
      <c r="F54" s="5" t="inlineStr">
        <is>
          <t>OK</t>
        </is>
      </c>
      <c r="G54" s="4" t="inlineStr"/>
      <c r="H54" s="4" t="inlineStr">
        <is>
          <t>2026-08-25</t>
        </is>
      </c>
      <c r="I54" s="4" t="inlineStr">
        <is>
          <t>Mau</t>
        </is>
      </c>
      <c r="J54" s="4" t="inlineStr">
        <is>
          <t>Built 2026-08-25 (Mau). 5 chapters, hand-authored pixel sprites drawn in Compose (ui/story/PixelArt.kt) - no bitmap assets, scales to any density. Skippable. Verified on emulator. Runs after onboarding and replayable from How to Play. Plays automatically on signup only; login goes straight to the dashboard and the story is replayable from Home &gt; Story &amp; Guides.</t>
        </is>
      </c>
    </row>
    <row r="55">
      <c r="B55" s="6" t="n"/>
      <c r="C55" s="6" t="n"/>
      <c r="D55" s="4" t="inlineStr">
        <is>
          <t>Tutorial Mode - scripted playable walkthrough on the real game UI</t>
        </is>
      </c>
      <c r="E55" s="4" t="inlineStr">
        <is>
          <t>Mobile</t>
        </is>
      </c>
      <c r="F55" s="5" t="inlineStr">
        <is>
          <t>OK</t>
        </is>
      </c>
      <c r="G55" s="4" t="inlineStr"/>
      <c r="H55" s="4" t="inlineStr">
        <is>
          <t>2026-08-25</t>
        </is>
      </c>
      <c r="I55" s="4" t="inlineStr">
        <is>
          <t>Mau</t>
        </is>
      </c>
      <c r="J55" s="4" t="inlineStr">
        <is>
          <t>Built 2026-08-25 (Mau). ui/tutorial/TutorialGameScreen.kt uses the real GameTile, CustomKeyboard and WordleEngine on a fixed ADOBO board - not a mock-up. Not scored, nothing pushed to the server. Coaching line reacts to the player's actual guesses. Verified end-to-end on emulator.</t>
        </is>
      </c>
    </row>
    <row r="56">
      <c r="B56" s="6" t="n"/>
      <c r="C56" s="6" t="n"/>
      <c r="D56" s="4" t="inlineStr">
        <is>
          <t>Interactive onboarding walkthrough (coach-mark overlays)</t>
        </is>
      </c>
      <c r="E56" s="4" t="inlineStr">
        <is>
          <t>Mobile</t>
        </is>
      </c>
      <c r="F56" s="5" t="inlineStr">
        <is>
          <t>OK</t>
        </is>
      </c>
      <c r="G56" s="4" t="inlineStr"/>
      <c r="H56" s="4" t="inlineStr">
        <is>
          <t>2026-08-25</t>
        </is>
      </c>
      <c r="I56" s="4" t="inlineStr">
        <is>
          <t>Mau</t>
        </is>
      </c>
      <c r="J56" s="4" t="inlineStr">
        <is>
          <t>Built 2026-08-25 (Mau). ui/onboarding/CoachMarks.kt: spotlight overlay with BlendMode.Clear cutout, anchors registered via Modifier.coachAnchor. 4 steps on Home covering clue-to-puzzle, streak counter, on-chain badges and leaderboard tier - the three the panel named. Per-user flag so a second account is shown around too.</t>
        </is>
      </c>
    </row>
    <row r="57">
      <c r="B57" s="6" t="n"/>
      <c r="C57" s="6" t="n"/>
      <c r="D57" s="4" t="inlineStr">
        <is>
          <t>How It Works help module on the game dashboard</t>
        </is>
      </c>
      <c r="E57" s="4" t="inlineStr">
        <is>
          <t>Mobile</t>
        </is>
      </c>
      <c r="F57" s="5" t="inlineStr">
        <is>
          <t>OK</t>
        </is>
      </c>
      <c r="G57" s="4" t="inlineStr"/>
      <c r="H57" s="4" t="inlineStr">
        <is>
          <t>2026-08-25</t>
        </is>
      </c>
      <c r="I57" s="4" t="inlineStr">
        <is>
          <t>Mau</t>
        </is>
      </c>
      <c r="J57" s="4" t="inlineStr">
        <is>
          <t>Built 2026-08-25 (Mau). Panel's 3 steps added to the top of HowToPlayContent, so they appear in both existing entry points (InstructionScreen and the in-game help dialog). Step 3 now says the badge is minted automatically, matching the new behaviour.</t>
        </is>
      </c>
    </row>
    <row r="58">
      <c r="B58" s="6" t="n"/>
      <c r="C58" s="6" t="n"/>
      <c r="D58" s="4" t="inlineStr">
        <is>
          <t>KKCoin tutorial - how to earn and spend KK</t>
        </is>
      </c>
      <c r="E58" s="4" t="inlineStr">
        <is>
          <t>Mobile</t>
        </is>
      </c>
      <c r="F58" s="5" t="inlineStr">
        <is>
          <t>OK</t>
        </is>
      </c>
      <c r="G58" s="4" t="inlineStr"/>
      <c r="H58" s="4" t="inlineStr">
        <is>
          <t>2026-08-25</t>
        </is>
      </c>
      <c r="I58" s="4" t="inlineStr">
        <is>
          <t>Mau</t>
        </is>
      </c>
      <c r="J58" s="4" t="inlineStr">
        <is>
          <t>Built 2026-08-25 (Mau). ui/tutorial/KkTutorialScreen.kt closes the intro chain. Amounts read from the same PowerUp constants the game uses so the page cannot drift from the economy. Verified on emulator.</t>
        </is>
      </c>
    </row>
    <row r="59">
      <c r="B59" s="6" t="n"/>
      <c r="C59" s="6" t="n"/>
      <c r="D59" s="4" t="inlineStr">
        <is>
          <t>Avatar marketplace enhancement (Chef's Atelier)</t>
        </is>
      </c>
      <c r="E59" s="4" t="inlineStr">
        <is>
          <t>Mobile</t>
        </is>
      </c>
      <c r="F59" s="5" t="inlineStr">
        <is>
          <t>OK</t>
        </is>
      </c>
      <c r="G59" s="4" t="inlineStr"/>
      <c r="H59" s="4" t="inlineStr">
        <is>
          <t>2026-08-25</t>
        </is>
      </c>
      <c r="I59" s="4" t="inlineStr">
        <is>
          <t>Mau</t>
        </is>
      </c>
      <c r="J59" s="4" t="inlineStr">
        <is>
          <t>Rebuilt 2026-08-25 (Mau). Locked chefs and frames are shown on their own — they do not preview as a pair until unlocked. Tapping a locked look opens the Add to your Kusina? dialog; owned looks wear on tap. Tiles are flat (no selected shadow). House Cook sits on the same cream plate as shop busts. Chef subtitles name the person (role), not the outfit. Frame subtitles name the wreath or ornament. 2026-09-03: live shop.php now prices avc_* chefs (D-34); confirm button says Buy. Buy (2026-09-16) wears the same terracotta candy as pause Resume.</t>
        </is>
      </c>
    </row>
    <row r="60">
      <c r="B60" s="6" t="n"/>
      <c r="C60" s="6" t="n"/>
      <c r="D60" s="4" t="inlineStr">
        <is>
          <t>Notifications - claimable reward, badge earned, streak reminder</t>
        </is>
      </c>
      <c r="E60" s="4" t="inlineStr">
        <is>
          <t>Mobile</t>
        </is>
      </c>
      <c r="F60" s="10" t="inlineStr">
        <is>
          <t>In Progress</t>
        </is>
      </c>
      <c r="G60" s="4" t="inlineStr"/>
      <c r="H60" s="4" t="inlineStr"/>
      <c r="I60" s="4" t="inlineStr">
        <is>
          <t>Mau</t>
        </is>
      </c>
      <c r="J60" s="4" t="inlineStr">
        <is>
          <t>Built 2026-08-25 (Mau): KusinaNotifications with Rewards and Reminders channels, POST_NOTIFICATIONS runtime request, a notification when a badge finishes minting, and a daily-claim nudge on app open. NOT DONE: reminders while the app is closed (streak nudge, end-of-day daily warning) - those need WorkManager, which was deliberately not added. Verified permission prompt on emulator. In-app Notifications screen added behind the Home header bell - claimable rewards plus every on-chain reward with its TxHash, since system notifications vanish once dismissed. Bell count (D-41, 2026-09-16): daily claim is two waiting rows (KK + palayok), so the badge matches WAITING FOR YOU. Inbox (2026-09-16): minted title drops the bang and status is title-cased (Confirmed); Mark all read / Select / Archived sit on the right. On-chain list is newest-first (2026-09-17). Ledger ticket (D-43): report is a button, details are required, Done hides while filing. Junk like aaa is rejected (D-45: 12+ characters in the player's own words). Daily inbox title is Daily 2026-09-17; Recorded converts UTC to the phone's local time. Island complete (2026-09-17, D-46): CLAIMED chip plus waiting/claimed notifications, same as Daily Login. Palayok free spin (D-47, 2026-09-17): daily claim banks the spin; a claimed day missing one is repaired on the next pantry snapshot. Inbox (D-48, 2026-09-17): resume refreshes so a claimed daily moves to On-Chain Activity; Daily palayok spin stays in Waiting until the wheel is turned. After the wheel (D-49, 2026-09-17): pantry/spin.php writes a palayok_spin receipt (0 KK) so On-Chain Activity lists Daily login claim then Daily palayok spin. Waiting titles match those two names. Inbox chrome (2026-09-17): parchment cards matching Settings, one box per row, no circular wells. Empty inbox (2026-10-11): a tab with nothing to claim or show uses the same centered message as KK Transaction, with the brown bell and no note card.</t>
        </is>
      </c>
    </row>
    <row r="61">
      <c r="B61" s="6" t="n"/>
      <c r="C61" s="6" t="n"/>
      <c r="D61" s="4" t="inlineStr">
        <is>
          <t>Remove SOON placeholder labels now that KK is live</t>
        </is>
      </c>
      <c r="E61" s="4" t="inlineStr">
        <is>
          <t>Mobile</t>
        </is>
      </c>
      <c r="F61" s="5" t="inlineStr">
        <is>
          <t>OK</t>
        </is>
      </c>
      <c r="G61" s="4" t="inlineStr"/>
      <c r="H61" s="4" t="inlineStr">
        <is>
          <t>2026-08-25</t>
        </is>
      </c>
      <c r="I61" s="4" t="inlineStr">
        <is>
          <t>Mau</t>
        </is>
      </c>
      <c r="J61" s="4" t="inlineStr">
        <is>
          <t>Done 2026-08-25 (Mau). UtilityCard default badge is now OPEN and the SOON styling branch is gone; the win-screen reward stack is KK and badges only. KODEX UNLOCKED then UNLOCK FOOD DOCUMENTARY sit below the stack</t>
        </is>
      </c>
    </row>
    <row r="62">
      <c r="B62" s="6" t="n"/>
      <c r="C62" s="6" t="n"/>
      <c r="D62" s="4" t="inlineStr">
        <is>
          <t>Auto-mint badges on victory (remove the manual claim step)</t>
        </is>
      </c>
      <c r="E62" s="4" t="inlineStr">
        <is>
          <t>Mobile / Backend</t>
        </is>
      </c>
      <c r="F62" s="5" t="inlineStr">
        <is>
          <t>OK</t>
        </is>
      </c>
      <c r="G62" s="4" t="inlineStr"/>
      <c r="H62" s="4" t="inlineStr">
        <is>
          <t>2026-08-25</t>
        </is>
      </c>
      <c r="I62" s="4" t="inlineStr">
        <is>
          <t>Alyssa</t>
        </is>
      </c>
      <c r="J62" s="4" t="inlineStr">
        <is>
          <t>Built 2026-08-25. ChainRewardCoordinator subscribes to GamificationEvents.badgesEarned - the seam the gamification module already announced badges on for this purpose - and runs claim + settle immediately. Manual CLAIM on Rewards still works for the daily. NOTE: this lands in Alyssa's module; she was mid-change on badge claiming, so it needs her review before merge.</t>
        </is>
      </c>
    </row>
    <row r="63">
      <c r="B63" s="6" t="n"/>
      <c r="C63" s="6" t="n"/>
      <c r="D63" s="4" t="inlineStr">
        <is>
          <t>Transparent cryptographic status indicators (on-chain progress feedback)</t>
        </is>
      </c>
      <c r="E63" s="4" t="inlineStr">
        <is>
          <t>Mobile</t>
        </is>
      </c>
      <c r="F63" s="5" t="inlineStr">
        <is>
          <t>OK</t>
        </is>
      </c>
      <c r="G63" s="4" t="inlineStr"/>
      <c r="H63" s="4" t="inlineStr">
        <is>
          <t>2026-08-25</t>
        </is>
      </c>
      <c r="I63" s="4" t="inlineStr">
        <is>
          <t>Alyssa</t>
        </is>
      </c>
      <c r="J63" s="4" t="inlineStr">
        <is>
          <t>Built 2026-08-25. domain/ChainEvents.kt carries pipeline state; ui/components/ChainStatusBanner.kt is hosted at the navigation root so a mint that starts in a round is still visible after the player moves on. Shows 'Validating ... on-chain', then the mint with its TxHash; tapping copies the hash (the 'View TxHash Proof' affordance).</t>
        </is>
      </c>
    </row>
    <row r="64">
      <c r="B64" s="6" t="n"/>
      <c r="C64" s="6" t="n"/>
      <c r="D64" s="4" t="inlineStr">
        <is>
          <t>Downloadable badge certificate (PDF) on claim</t>
        </is>
      </c>
      <c r="E64" s="4" t="inlineStr">
        <is>
          <t>Mobile</t>
        </is>
      </c>
      <c r="F64" s="7" t="inlineStr">
        <is>
          <t>Scope Change</t>
        </is>
      </c>
      <c r="G64" s="4" t="inlineStr"/>
      <c r="H64" s="4" t="inlineStr"/>
      <c r="I64" s="4" t="inlineStr">
        <is>
          <t>Alyssa</t>
        </is>
      </c>
      <c r="J64" s="4" t="inlineStr">
        <is>
          <t>Built 2026-08-25 then REMOVED the same day at the team's request. The PDF generator, the on-screen certificate, the badge tap target and the FileProvider that shared the file are all gone; badges are display-only again. Nothing else depended on it. Re-add it here as Not Started if the decision is revisited - the TxHash it printed is still on every confirmed badge.</t>
        </is>
      </c>
    </row>
    <row r="65">
      <c r="B65" s="6" t="n"/>
      <c r="C65" s="6" t="n"/>
      <c r="D65" s="4" t="inlineStr">
        <is>
          <t>Palayok open one or all</t>
        </is>
      </c>
      <c r="E65" s="4" t="inlineStr">
        <is>
          <t>Mobile</t>
        </is>
      </c>
      <c r="F65" s="10" t="inlineStr">
        <is>
          <t>In Progress</t>
        </is>
      </c>
      <c r="G65" s="4" t="inlineStr"/>
      <c r="H65" s="4" t="inlineStr"/>
      <c r="I65" s="4" t="inlineStr">
        <is>
          <t>Alyssa</t>
        </is>
      </c>
      <c r="J65" s="4" t="inlineStr">
        <is>
          <t>A single waiting palayok offers Draw 1 only. Open all appears when two or more are waiting. When the pot opens it stays in the middle, and the ingredient rises out of it and floats just above. Checked on the emulator.</t>
        </is>
      </c>
    </row>
    <row r="66">
      <c r="B66" s="6" t="n"/>
      <c r="C66" s="6" t="n"/>
      <c r="D66" s="4" t="inlineStr">
        <is>
          <t>Shelf ingredient trading card</t>
        </is>
      </c>
      <c r="E66" s="4" t="inlineStr">
        <is>
          <t>Mobile</t>
        </is>
      </c>
      <c r="F66" s="10" t="inlineStr">
        <is>
          <t>In Progress</t>
        </is>
      </c>
      <c r="G66" s="4" t="inlineStr"/>
      <c r="H66" s="4" t="inlineStr"/>
      <c r="I66" s="4" t="inlineStr">
        <is>
          <t>Alyssa</t>
        </is>
      </c>
      <c r="J66" s="4" t="inlineStr">
        <is>
          <t>Tapping an ingredient already on the shelf opens the collectible card, the same size as the palayok card. The category, such as Vegetable, is one brown with a light edge so it stays readable on every frame, including Legendary, and it sits above the description. The quantity, such as 1 ON THE SHELF, is near-black on pale cards and light on the blue card. A palayok reveal still says INGREDIENT UNLOCKED and SHELVED IN YOUR PANTRY. The name banner shrinks until the full title fits, including a closing parenthesis. Checked on the emulator.</t>
        </is>
      </c>
    </row>
    <row r="67">
      <c r="B67" s="6" t="n"/>
      <c r="C67" s="6" t="n"/>
      <c r="D67" s="4" t="inlineStr">
        <is>
          <t>Pantry duplicate sell quantity</t>
        </is>
      </c>
      <c r="E67" s="4" t="inlineStr">
        <is>
          <t>Mobile</t>
        </is>
      </c>
      <c r="F67" s="10" t="inlineStr">
        <is>
          <t>In Progress</t>
        </is>
      </c>
      <c r="G67" s="4" t="inlineStr"/>
      <c r="H67" s="4" t="inlineStr"/>
      <c r="I67" s="4" t="inlineStr">
        <is>
          <t>Alyssa</t>
        </is>
      </c>
      <c r="J67" s="4" t="inlineStr">
        <is>
          <t>KODEX Pantry Sell on a stack of 2 or more opens a chooser from 1 to the owned count, shows the KK for that count, and sells only the chosen number. The chooser is a terracotta slider with minus on the left and plus on the right, on the same parchment card. A single copy still confirms a sale of 1. The older pantry shelf uses the same chooser. Unit-tested the count clamp. Alyssa checked the chooser on the emulator: terracotta track and knob, and small Sell-style minus and plus with no bottom shadow.</t>
        </is>
      </c>
    </row>
    <row r="68">
      <c r="B68" s="6" t="n"/>
      <c r="C68" s="6" t="n"/>
      <c r="D68" s="4" t="inlineStr">
        <is>
          <t>Leaderboard shows your own rank</t>
        </is>
      </c>
      <c r="E68" s="4" t="inlineStr">
        <is>
          <t>Mobile / Backend</t>
        </is>
      </c>
      <c r="F68" s="5" t="inlineStr">
        <is>
          <t>OK</t>
        </is>
      </c>
      <c r="G68" s="4" t="inlineStr"/>
      <c r="H68" s="4" t="inlineStr">
        <is>
          <t>2026-10-12</t>
        </is>
      </c>
      <c r="I68" s="4" t="inlineStr">
        <is>
          <t>Mau</t>
        </is>
      </c>
      <c r="J68" s="4" t="inlineStr">
        <is>
          <t>Kusina Masters lists the top 50. The player's own row is brown with a YOU chip; outside the top 50 it stays pinned under the list with the real rank (get_leaderboard.php?me= returns it, using the board's own ordering). Inside the top 50 it pins to the bottom until scrolled to, then to the top once scrolled past. The header and podium no longer scroll. Older app versions get the same reply as before. Unit-tested in LeaderboardViewModelTest; checked on the emulator at rank #39 and #32.</t>
        </is>
      </c>
    </row>
    <row r="69">
      <c r="B69" s="6" t="n"/>
      <c r="C69" s="6" t="n"/>
      <c r="D69" s="4" t="inlineStr">
        <is>
          <t>Painted Luzon and Mindanao level maps</t>
        </is>
      </c>
      <c r="E69" s="4" t="inlineStr">
        <is>
          <t>Mobile</t>
        </is>
      </c>
      <c r="F69" s="10" t="inlineStr">
        <is>
          <t>In Progress</t>
        </is>
      </c>
      <c r="G69" s="4" t="inlineStr"/>
      <c r="H69" s="4" t="inlineStr"/>
      <c r="I69" s="4" t="inlineStr">
        <is>
          <t>Alyssa</t>
        </is>
      </c>
      <c r="J69" s="4" t="inlineStr">
        <is>
          <t>Luzon and Mindanao use their painted flag maps inside the same card, with sea above the island. A solved flag is the dish, the level still to solve shows the brown play button, and a locked flag keeps the question mark. Luzon flag 15 and Mindanao flag 7 say Coming soon. The chef stands on the current flag and walks to the next after a level is solved. Back to Map opens that level's island. The whole chart uses the new Philippines picture.</t>
        </is>
      </c>
    </row>
    <row r="70">
      <c r="B70" s="6" t="n"/>
      <c r="C70" s="6" t="n"/>
      <c r="D70" s="4" t="inlineStr">
        <is>
          <t>Painted Visayas level map</t>
        </is>
      </c>
      <c r="E70" s="4" t="inlineStr">
        <is>
          <t>Mobile</t>
        </is>
      </c>
      <c r="F70" s="10" t="inlineStr">
        <is>
          <t>In Progress</t>
        </is>
      </c>
      <c r="G70" s="4" t="inlineStr"/>
      <c r="H70" s="4" t="inlineStr"/>
      <c r="I70" s="4" t="inlineStr">
        <is>
          <t>Alyssa</t>
        </is>
      </c>
      <c r="J70" s="4" t="inlineStr">
        <is>
          <t>Visayas uses the same painted flag map as Luzon and Mindanao, inside the same card, with sea above the island. A solved flag is the dish, the level still to solve shows the brown play button in the middle of the shield, and a locked flag keeps the question mark. Flags past the dishes say Coming soon. The chef on level 1 rests to the left of the flag so he stays visible, and he walks to the next flag after a level is solved.</t>
        </is>
      </c>
    </row>
    <row r="71">
      <c r="B71" s="6" t="n"/>
      <c r="C71" s="6" t="n"/>
      <c r="D71" s="4" t="inlineStr">
        <is>
          <t>KODEX recent pot shelf</t>
        </is>
      </c>
      <c r="E71" s="4" t="inlineStr">
        <is>
          <t>Mobile</t>
        </is>
      </c>
      <c r="F71" s="10" t="inlineStr">
        <is>
          <t>In Progress</t>
        </is>
      </c>
      <c r="G71" s="4" t="inlineStr"/>
      <c r="H71" s="4" t="inlineStr"/>
      <c r="I71" s="4" t="inlineStr">
        <is>
          <t>Alyssa</t>
        </is>
      </c>
      <c r="J71" s="4" t="inlineStr">
        <is>
          <t>KODEX pantry shows up to three floating shelf cards. They are the ingredients most recently drawn from the pot, and if fewer than three were drawn the row fills the rest with other ingredients the player already owns. There is no Sell button and no KK amount. The count is a bold number and then gray on the shelf. A long name ends in an ellipsis. Tapping a card opens the collectible. The category stays the same brown, with a light edge on every card, including the purple Legendary panel. Checked on the emulator.</t>
        </is>
      </c>
    </row>
    <row r="72">
      <c r="B72" s="12" t="n"/>
      <c r="C72" s="12" t="n"/>
      <c r="D72" s="4" t="inlineStr">
        <is>
          <t>Pause menu label seat</t>
        </is>
      </c>
      <c r="E72" s="4" t="inlineStr">
        <is>
          <t>Mobile</t>
        </is>
      </c>
      <c r="F72" s="10" t="inlineStr">
        <is>
          <t>In Progress</t>
        </is>
      </c>
      <c r="G72" s="4" t="inlineStr"/>
      <c r="H72" s="4" t="inlineStr"/>
      <c r="I72" s="4" t="inlineStr">
        <is>
          <t>Alyssa</t>
        </is>
      </c>
      <c r="J72" s="4" t="inlineStr">
        <is>
          <t>Keep Playing and Leave Round sit in the middle of the candy, a little to the right and a little down. The icon well stays on the left. The same seat is used by the other pause buttons that share this candy. Checked on the emulator.</t>
        </is>
      </c>
    </row>
  </sheetData>
  <mergeCells count="3">
    <mergeCell ref="A2:A72"/>
    <mergeCell ref="B2:B72"/>
    <mergeCell ref="C2:C7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6" customWidth="1" min="1" max="1"/>
    <col width="40" customWidth="1" min="2" max="2"/>
    <col width="15" customWidth="1" min="3" max="3"/>
    <col width="10" customWidth="1" min="4" max="4"/>
    <col width="13" customWidth="1" min="5" max="5"/>
    <col width="16" customWidth="1" min="6" max="6"/>
  </cols>
  <sheetData>
    <row r="1">
      <c r="A1" s="13" t="inlineStr">
        <is>
          <t>Kusina Kode - Feature Completion Tracker</t>
        </is>
      </c>
    </row>
    <row r="2">
      <c r="A2" s="14" t="inlineStr">
        <is>
          <t>Per-module readiness. Figures are formulas over the Progress Table tab.</t>
        </is>
      </c>
    </row>
    <row r="4" ht="30" customHeight="1">
      <c r="A4" s="1" t="inlineStr">
        <is>
          <t>Total Features</t>
        </is>
      </c>
      <c r="B4" s="1" t="inlineStr">
        <is>
          <t>Done</t>
        </is>
      </c>
      <c r="C4" s="1" t="inlineStr">
        <is>
          <t>In Progress</t>
        </is>
      </c>
      <c r="D4" s="1" t="inlineStr">
        <is>
          <t>Not Started</t>
        </is>
      </c>
      <c r="E4" s="1" t="inlineStr">
        <is>
          <t>Needs Decision</t>
        </is>
      </c>
      <c r="F4" s="1" t="inlineStr">
        <is>
          <t>Overall %</t>
        </is>
      </c>
    </row>
    <row r="6">
      <c r="A6" s="15">
        <f>COUNTA('Progress Table'!$F$2:$F$72)</f>
        <v/>
      </c>
      <c r="B6" s="15">
        <f>COUNTIF('Progress Table'!$F$2:$F$72,"OK")</f>
        <v/>
      </c>
      <c r="C6" s="15">
        <f>COUNTIF('Progress Table'!$F$2:$F$72,"In Progress")</f>
        <v/>
      </c>
      <c r="D6" s="15">
        <f>COUNTIF('Progress Table'!$F$2:$F$72,"Not Started")</f>
        <v/>
      </c>
      <c r="E6" s="15">
        <f>COUNTIF('Progress Table'!$F$2:$F$72,"Scope Change")</f>
        <v/>
      </c>
      <c r="F6" s="16">
        <f>IFERROR(B6/A6,0)</f>
        <v/>
      </c>
    </row>
    <row r="8" ht="30" customHeight="1">
      <c r="A8" s="1" t="inlineStr">
        <is>
          <t>#</t>
        </is>
      </c>
      <c r="B8" s="1" t="inlineStr">
        <is>
          <t>Module</t>
        </is>
      </c>
      <c r="C8" s="1" t="inlineStr">
        <is>
          <t>Total Features</t>
        </is>
      </c>
      <c r="D8" s="1" t="inlineStr">
        <is>
          <t>Done</t>
        </is>
      </c>
      <c r="E8" s="1" t="inlineStr">
        <is>
          <t>% Complete</t>
        </is>
      </c>
      <c r="F8" s="1" t="inlineStr">
        <is>
          <t>Status</t>
        </is>
      </c>
    </row>
    <row r="9">
      <c r="A9" s="17" t="n">
        <v>1</v>
      </c>
      <c r="B9" s="4" t="inlineStr">
        <is>
          <t>WORD PUZZLE GAME ENGINE</t>
        </is>
      </c>
      <c r="C9" s="17">
        <f>COUNTA('Progress Table'!$F$2:$F$72)</f>
        <v/>
      </c>
      <c r="D9" s="17">
        <f>COUNTIF('Progress Table'!$F$2:$F$72,"OK")</f>
        <v/>
      </c>
      <c r="E9" s="18">
        <f>IFERROR(D9/C9,0)</f>
        <v/>
      </c>
      <c r="F9" s="4">
        <f>IF(E9=1,"Complete",IF(E9&gt;0,"In Progress","Not Started"))</f>
        <v/>
      </c>
    </row>
    <row r="10">
      <c r="A10" s="17" t="n">
        <v>2</v>
      </c>
      <c r="B10" s="4" t="inlineStr">
        <is>
          <t>CULTURAL CONTENT</t>
        </is>
      </c>
      <c r="C10" s="17">
        <f>COUNTA('Progress Table'!$F$9:$F$70)</f>
        <v/>
      </c>
      <c r="D10" s="17">
        <f>COUNTIF('Progress Table'!$F$9:$F$70,"OK")</f>
        <v/>
      </c>
      <c r="E10" s="18">
        <f>IFERROR(D10/C10,0)</f>
        <v/>
      </c>
      <c r="F10" s="4">
        <f>IF(E10=1,"Complete",IF(E10&gt;0,"In Progress","Not Started"))</f>
        <v/>
      </c>
    </row>
    <row r="11">
      <c r="A11" s="17" t="n">
        <v>3</v>
      </c>
      <c r="B11" s="4" t="inlineStr">
        <is>
          <t>GAMIFICATION</t>
        </is>
      </c>
      <c r="C11" s="17">
        <f>COUNTA('Progress Table'!$F$14:$F$71)</f>
        <v/>
      </c>
      <c r="D11" s="17">
        <f>COUNTIF('Progress Table'!$F$14:$F$71,"OK")</f>
        <v/>
      </c>
      <c r="E11" s="18">
        <f>IFERROR(D11/C11,0)</f>
        <v/>
      </c>
      <c r="F11" s="4">
        <f>IF(E11=1,"Complete",IF(E11&gt;0,"In Progress","Not Started"))</f>
        <v/>
      </c>
    </row>
    <row r="12">
      <c r="A12" s="17" t="n">
        <v>4</v>
      </c>
      <c r="B12" s="4" t="inlineStr">
        <is>
          <t>BLOCKCHAIN INCENTIVE</t>
        </is>
      </c>
      <c r="C12" s="17">
        <f>COUNTA('Progress Table'!$F$20:$F$64)</f>
        <v/>
      </c>
      <c r="D12" s="17">
        <f>COUNTIF('Progress Table'!$F$20:$F$64,"OK")</f>
        <v/>
      </c>
      <c r="E12" s="18">
        <f>IFERROR(D12/C12,0)</f>
        <v/>
      </c>
      <c r="F12" s="4">
        <f>IF(E12=1,"Complete",IF(E12&gt;0,"In Progress","Not Started"))</f>
        <v/>
      </c>
    </row>
    <row r="13">
      <c r="A13" s="17" t="n">
        <v>5</v>
      </c>
      <c r="B13" s="4" t="inlineStr">
        <is>
          <t>ADMINISTRATIVE DASHBOARD</t>
        </is>
      </c>
      <c r="C13" s="17">
        <f>COUNTA('Progress Table'!$F$32:$F$53)</f>
        <v/>
      </c>
      <c r="D13" s="17">
        <f>COUNTIF('Progress Table'!$F$32:$F$53,"OK")</f>
        <v/>
      </c>
      <c r="E13" s="18">
        <f>IFERROR(D13/C13,0)</f>
        <v/>
      </c>
      <c r="F13" s="4">
        <f>IF(E13=1,"Complete",IF(E13&gt;0,"In Progress","Not Started"))</f>
        <v/>
      </c>
    </row>
    <row r="14">
      <c r="A14" s="17" t="n">
        <v>6</v>
      </c>
      <c r="B14" s="4" t="inlineStr">
        <is>
          <t>AUTHENTICATION AND IDENTITY</t>
        </is>
      </c>
      <c r="C14" s="17">
        <f>COUNTA('Progress Table'!$F$36:$F$41)</f>
        <v/>
      </c>
      <c r="D14" s="17">
        <f>COUNTIF('Progress Table'!$F$36:$F$41,"OK")</f>
        <v/>
      </c>
      <c r="E14" s="18">
        <f>IFERROR(D14/C14,0)</f>
        <v/>
      </c>
      <c r="F14" s="4">
        <f>IF(E14=1,"Complete",IF(E14&gt;0,"In Progress","Not Started"))</f>
        <v/>
      </c>
    </row>
    <row r="15">
      <c r="A15" s="17" t="n">
        <v>7</v>
      </c>
      <c r="B15" s="4" t="inlineStr">
        <is>
          <t>CLOUD INFRASTRUCTURE AND SECURITY</t>
        </is>
      </c>
      <c r="C15" s="17">
        <f>COUNTA('Progress Table'!$F$42:$F$49)</f>
        <v/>
      </c>
      <c r="D15" s="17">
        <f>COUNTIF('Progress Table'!$F$42:$F$49,"OK")</f>
        <v/>
      </c>
      <c r="E15" s="18">
        <f>IFERROR(D15/C15,0)</f>
        <v/>
      </c>
      <c r="F15" s="4">
        <f>IF(E15=1,"Complete",IF(E15&gt;0,"In Progress","Not Started"))</f>
        <v/>
      </c>
    </row>
    <row r="16">
      <c r="A16" s="17" t="n">
        <v>8</v>
      </c>
      <c r="B16" s="4" t="inlineStr">
        <is>
          <t>TESTING, QA AND DOCUMENTATION</t>
        </is>
      </c>
      <c r="C16" s="17">
        <f>COUNTA('Progress Table'!$F$50:$F$52)</f>
        <v/>
      </c>
      <c r="D16" s="17">
        <f>COUNTIF('Progress Table'!$F$50:$F$52,"OK")</f>
        <v/>
      </c>
      <c r="E16" s="18">
        <f>IFERROR(D16/C16,0)</f>
        <v/>
      </c>
      <c r="F16" s="4">
        <f>IF(E16=1,"Complete",IF(E16&gt;0,"In Progress","Not Started"))</f>
        <v/>
      </c>
    </row>
    <row r="17">
      <c r="B17" s="19" t="inlineStr">
        <is>
          <t>TOTAL</t>
        </is>
      </c>
      <c r="C17" s="20">
        <f>SUM(C9:C16)</f>
        <v/>
      </c>
      <c r="D17" s="20">
        <f>SUM(D9:D16)</f>
        <v/>
      </c>
      <c r="E17" s="21">
        <f>IFERROR(D17/C17,0)</f>
        <v/>
      </c>
    </row>
    <row r="19">
      <c r="A19" s="22" t="inlineStr">
        <is>
          <t>Status legend: OK = built and verified · In Progress = started, incomplete · Not Started = no work yet · Scope Change = built differently from the written feature, needs a team decision.</t>
        </is>
      </c>
    </row>
    <row r="20"/>
  </sheetData>
  <mergeCells count="1">
    <mergeCell ref="A19:F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11" customWidth="1" min="1" max="1"/>
    <col width="52" customWidth="1" min="2" max="2"/>
    <col width="15" customWidth="1" min="3" max="3"/>
    <col width="3" customWidth="1" min="4" max="4"/>
    <col width="11" customWidth="1" min="5" max="5"/>
    <col width="34" customWidth="1" min="6" max="6"/>
    <col width="60" customWidth="1" min="7" max="7"/>
    <col width="15" customWidth="1" min="8" max="8"/>
  </cols>
  <sheetData>
    <row r="1" ht="30" customHeight="1">
      <c r="A1" s="1" t="inlineStr">
        <is>
          <t>Test No.</t>
        </is>
      </c>
      <c r="B1" s="1" t="inlineStr">
        <is>
          <t>Test Case</t>
        </is>
      </c>
      <c r="C1" s="1" t="inlineStr">
        <is>
          <t>Remarks (Pass/Fail)</t>
        </is>
      </c>
      <c r="D1" s="23" t="inlineStr"/>
      <c r="E1" s="1" t="inlineStr">
        <is>
          <t>Test No.</t>
        </is>
      </c>
      <c r="F1" s="1" t="inlineStr">
        <is>
          <t>Test Case</t>
        </is>
      </c>
      <c r="G1" s="1" t="inlineStr">
        <is>
          <t>Description of Test Case</t>
        </is>
      </c>
      <c r="H1" s="1" t="inlineStr">
        <is>
          <t>Remarks (Pass/Fail)</t>
        </is>
      </c>
    </row>
    <row r="2">
      <c r="A2" s="17" t="inlineStr">
        <is>
          <t>U-001</t>
        </is>
      </c>
      <c r="B2" s="4" t="inlineStr">
        <is>
          <t>AchievementBadgeTest: a loss earns no achievement</t>
        </is>
      </c>
      <c r="C2" s="24" t="inlineStr">
        <is>
          <t>Pass</t>
        </is>
      </c>
      <c r="E2" s="17" t="inlineStr">
        <is>
          <t>I-001</t>
        </is>
      </c>
      <c r="F2" s="4" t="inlineStr">
        <is>
          <t>Unauthenticated write is rejected</t>
        </is>
      </c>
      <c r="G2" s="4" t="inlineStr">
        <is>
          <t>POST post_progress.php | input: no token, body {"user_id":1,"total_points":999999} | expected: 401 | actual: 401</t>
        </is>
      </c>
      <c r="H2" s="24" t="inlineStr">
        <is>
          <t>Pass</t>
        </is>
      </c>
    </row>
    <row r="3">
      <c r="A3" s="17" t="inlineStr">
        <is>
          <t>U-002</t>
        </is>
      </c>
      <c r="B3" s="4" t="inlineStr">
        <is>
          <t>AchievementBadgeTest: a one-guess win is not sea of green</t>
        </is>
      </c>
      <c r="C3" s="24" t="inlineStr">
        <is>
          <t>Pass</t>
        </is>
      </c>
      <c r="E3" s="17" t="inlineStr">
        <is>
          <t>I-002</t>
        </is>
      </c>
      <c r="F3" s="4" t="inlineStr">
        <is>
          <t>Unauthenticated read is rejected</t>
        </is>
      </c>
      <c r="G3" s="4" t="inlineStr">
        <is>
          <t>GET get_progress.php | input: no token, ?user_id=1 | expected: 401 | actual: 401</t>
        </is>
      </c>
      <c r="H3" s="24" t="inlineStr">
        <is>
          <t>Pass</t>
        </is>
      </c>
    </row>
    <row r="4">
      <c r="A4" s="17" t="inlineStr">
        <is>
          <t>U-003</t>
        </is>
      </c>
      <c r="B4" s="4" t="inlineStr">
        <is>
          <t>AchievementBadgeTest: a retired region in an old save does not count toward world explorer</t>
        </is>
      </c>
      <c r="C4" s="24" t="inlineStr">
        <is>
          <t>Pass</t>
        </is>
      </c>
      <c r="E4" s="17" t="inlineStr">
        <is>
          <t>I-003</t>
        </is>
      </c>
      <c r="F4" s="4" t="inlineStr">
        <is>
          <t>Unauthenticated read is rejected</t>
        </is>
      </c>
      <c r="G4" s="4" t="inlineStr">
        <is>
          <t>GET get_badges.php | input: no token | expected: 401 | actual: 401</t>
        </is>
      </c>
      <c r="H4" s="24" t="inlineStr">
        <is>
          <t>Pass</t>
        </is>
      </c>
    </row>
    <row r="5">
      <c r="A5" s="17" t="inlineStr">
        <is>
          <t>U-004</t>
        </is>
      </c>
      <c r="B5" s="4" t="inlineStr">
        <is>
          <t>AchievementBadgeTest: a yellow tile anywhere rules out sea of green</t>
        </is>
      </c>
      <c r="C5" s="24" t="inlineStr">
        <is>
          <t>Pass</t>
        </is>
      </c>
      <c r="E5" s="17" t="inlineStr">
        <is>
          <t>I-004</t>
        </is>
      </c>
      <c r="F5" s="4" t="inlineStr">
        <is>
          <t>Unauthenticated read is rejected</t>
        </is>
      </c>
      <c r="G5" s="4" t="inlineStr">
        <is>
          <t>GET get_attempts.php | input: no token | expected: 401 | actual: 401</t>
        </is>
      </c>
      <c r="H5" s="24" t="inlineStr">
        <is>
          <t>Pass</t>
        </is>
      </c>
    </row>
    <row r="6">
      <c r="A6" s="17" t="inlineStr">
        <is>
          <t>U-005</t>
        </is>
      </c>
      <c r="B6" s="4" t="inlineStr">
        <is>
          <t>AchievementBadgeTest: a zero duration does not count as fast</t>
        </is>
      </c>
      <c r="C6" s="24" t="inlineStr">
        <is>
          <t>Pass</t>
        </is>
      </c>
      <c r="E6" s="17" t="inlineStr">
        <is>
          <t>I-005</t>
        </is>
      </c>
      <c r="F6" s="4" t="inlineStr">
        <is>
          <t>Unauthenticated write is rejected</t>
        </is>
      </c>
      <c r="G6" s="4" t="inlineStr">
        <is>
          <t>POST post_badge.php | input: no token | expected: 401 | actual: 401</t>
        </is>
      </c>
      <c r="H6" s="24" t="inlineStr">
        <is>
          <t>Pass</t>
        </is>
      </c>
    </row>
    <row r="7">
      <c r="A7" s="17" t="inlineStr">
        <is>
          <t>U-006</t>
        </is>
      </c>
      <c r="B7" s="4" t="inlineStr">
        <is>
          <t>AchievementBadgeTest: achievements are awarded once</t>
        </is>
      </c>
      <c r="C7" s="24" t="inlineStr">
        <is>
          <t>Pass</t>
        </is>
      </c>
      <c r="E7" s="17" t="inlineStr">
        <is>
          <t>I-006</t>
        </is>
      </c>
      <c r="F7" s="4" t="inlineStr">
        <is>
          <t>Unauthenticated write is rejected</t>
        </is>
      </c>
      <c r="G7" s="4" t="inlineStr">
        <is>
          <t>POST update_profile.php | input: no token | expected: 401 | actual: 401</t>
        </is>
      </c>
      <c r="H7" s="24" t="inlineStr">
        <is>
          <t>Pass</t>
        </is>
      </c>
    </row>
    <row r="8">
      <c r="A8" s="17" t="inlineStr">
        <is>
          <t>U-007</t>
        </is>
      </c>
      <c r="B8" s="4" t="inlineStr">
        <is>
          <t>AchievementBadgeTest: clean kitchen needs zero power-ups</t>
        </is>
      </c>
      <c r="C8" s="24" t="inlineStr">
        <is>
          <t>Pass</t>
        </is>
      </c>
      <c r="E8" s="17" t="inlineStr">
        <is>
          <t>I-007</t>
        </is>
      </c>
      <c r="F8" s="4" t="inlineStr">
        <is>
          <t>Forged token is rejected</t>
        </is>
      </c>
      <c r="G8" s="4" t="inlineStr">
        <is>
          <t>GET get_badges.php | input: Authorization: Bearer deadbeef | expected: 401 | actual: 401</t>
        </is>
      </c>
      <c r="H8" s="24" t="inlineStr">
        <is>
          <t>Pass</t>
        </is>
      </c>
    </row>
    <row r="9">
      <c r="A9" s="17" t="inlineStr">
        <is>
          <t>U-008</t>
        </is>
      </c>
      <c r="B9" s="4" t="inlineStr">
        <is>
          <t>AchievementBadgeTest: fast thinker is under the threshold</t>
        </is>
      </c>
      <c r="C9" s="24" t="inlineStr">
        <is>
          <t>Pass</t>
        </is>
      </c>
      <c r="E9" s="17" t="inlineStr">
        <is>
          <t>I-008</t>
        </is>
      </c>
      <c r="F9" s="4" t="inlineStr">
        <is>
          <t>Bad credentials give no token</t>
        </is>
      </c>
      <c r="G9" s="4" t="inlineStr">
        <is>
          <t>POST login.php | input: unknown email and wrong password | expected: error, no token | actual: error, no token</t>
        </is>
      </c>
      <c r="H9" s="24" t="inlineStr">
        <is>
          <t>Pass</t>
        </is>
      </c>
    </row>
    <row r="10">
      <c r="A10" s="17" t="inlineStr">
        <is>
          <t>U-009</t>
        </is>
      </c>
      <c r="B10" s="4" t="inlineStr">
        <is>
          <t>AchievementBadgeTest: instant solve cannot buy sea of green</t>
        </is>
      </c>
      <c r="C10" s="24" t="inlineStr">
        <is>
          <t>Pass</t>
        </is>
      </c>
      <c r="E10" s="17" t="inlineStr">
        <is>
          <t>I-009</t>
        </is>
      </c>
      <c r="F10" s="4" t="inlineStr">
        <is>
          <t>Register issues a token</t>
        </is>
      </c>
      <c r="G10" s="4" t="inlineStr">
        <is>
          <t>POST register.php | input: new account authtest_a | expected: 64-char hex token | actual: 64-char hex token</t>
        </is>
      </c>
      <c r="H10" s="24" t="inlineStr">
        <is>
          <t>Pass</t>
        </is>
      </c>
    </row>
    <row r="11">
      <c r="A11" s="17" t="inlineStr">
        <is>
          <t>U-010</t>
        </is>
      </c>
      <c r="B11" s="4" t="inlineStr">
        <is>
          <t>AchievementBadgeTest: instant solve does not count as a last plating</t>
        </is>
      </c>
      <c r="C11" s="24" t="inlineStr">
        <is>
          <t>Pass</t>
        </is>
      </c>
      <c r="E11" s="17" t="inlineStr">
        <is>
          <t>I-010</t>
        </is>
      </c>
      <c r="F11" s="4" t="inlineStr">
        <is>
          <t>Authenticated write succeeds</t>
        </is>
      </c>
      <c r="G11" s="4" t="inlineStr">
        <is>
          <t>POST post_progress.php | input: valid token, 250 points | expected: success | actual: success</t>
        </is>
      </c>
      <c r="H11" s="24" t="inlineStr">
        <is>
          <t>Pass</t>
        </is>
      </c>
    </row>
    <row r="12">
      <c r="A12" s="17" t="inlineStr">
        <is>
          <t>U-011</t>
        </is>
      </c>
      <c r="B12" s="4" t="inlineStr">
        <is>
          <t>AchievementBadgeTest: knowledge badges count distinct dishes read</t>
        </is>
      </c>
      <c r="C12" s="24" t="inlineStr">
        <is>
          <t>Pass</t>
        </is>
      </c>
      <c r="E12" s="17" t="inlineStr">
        <is>
          <t>I-011</t>
        </is>
      </c>
      <c r="F12" s="4" t="inlineStr">
        <is>
          <t>Spoofed user_id in body is ignored</t>
        </is>
      </c>
      <c r="G12" s="4" t="inlineStr">
        <is>
          <t>POST post_progress.php | input: token = user 49, body user_id 50, 888888 pts | expected: writes to row 49 | actual: row 49 = 888888 and row 50 absent</t>
        </is>
      </c>
      <c r="H12" s="24" t="inlineStr">
        <is>
          <t>Pass</t>
        </is>
      </c>
    </row>
    <row r="13">
      <c r="A13" s="17" t="inlineStr">
        <is>
          <t>U-012</t>
        </is>
      </c>
      <c r="B13" s="4" t="inlineStr">
        <is>
          <t>AchievementBadgeTest: last plating is the final row only</t>
        </is>
      </c>
      <c r="C13" s="24" t="inlineStr">
        <is>
          <t>Pass</t>
        </is>
      </c>
      <c r="E13" s="17" t="inlineStr">
        <is>
          <t>I-012</t>
        </is>
      </c>
      <c r="F13" s="4" t="inlineStr">
        <is>
          <t>Spoofed user_id in query is ignored</t>
        </is>
      </c>
      <c r="G13" s="4" t="inlineStr">
        <is>
          <t>GET get_progress.php | input: token = user 49, ?user_id=50 | expected: returns user 49 data | actual: returned user 49 data</t>
        </is>
      </c>
      <c r="H13" s="24" t="inlineStr">
        <is>
          <t>Pass</t>
        </is>
      </c>
    </row>
    <row r="14">
      <c r="A14" s="17" t="inlineStr">
        <is>
          <t>U-013</t>
        </is>
      </c>
      <c r="B14" s="4" t="inlineStr">
        <is>
          <t>AchievementBadgeTest: re-reading the same dish changes nothing</t>
        </is>
      </c>
      <c r="C14" s="24" t="inlineStr">
        <is>
          <t>Pass</t>
        </is>
      </c>
      <c r="E14" s="17" t="inlineStr">
        <is>
          <t>I-013</t>
        </is>
      </c>
      <c r="F14" s="4" t="inlineStr">
        <is>
          <t>Public endpoint stays open</t>
        </is>
      </c>
      <c r="G14" s="4" t="inlineStr">
        <is>
          <t>GET get_levels.php | input: no token | expected: 200 | actual: 200</t>
        </is>
      </c>
      <c r="H14" s="24" t="inlineStr">
        <is>
          <t>Pass</t>
        </is>
      </c>
    </row>
    <row r="15">
      <c r="A15" s="17" t="inlineStr">
        <is>
          <t>U-014</t>
        </is>
      </c>
      <c r="B15" s="4" t="inlineStr">
        <is>
          <t>AchievementBadgeTest: replaying a solved dish cannot re-earn an achievement</t>
        </is>
      </c>
      <c r="C15" s="24" t="inlineStr">
        <is>
          <t>Pass</t>
        </is>
      </c>
      <c r="E15" s="17" t="inlineStr">
        <is>
          <t>I-014</t>
        </is>
      </c>
      <c r="F15" s="4" t="inlineStr">
        <is>
          <t>Public endpoint stays open</t>
        </is>
      </c>
      <c r="G15" s="4" t="inlineStr">
        <is>
          <t>GET get_leaderboard.php | input: no token | expected: 200 | actual: 200</t>
        </is>
      </c>
      <c r="H15" s="24" t="inlineStr">
        <is>
          <t>Pass</t>
        </is>
      </c>
    </row>
    <row r="16">
      <c r="A16" s="17" t="inlineStr">
        <is>
          <t>U-015</t>
        </is>
      </c>
      <c r="B16" s="4" t="inlineStr">
        <is>
          <t>AchievementBadgeTest: sea of green needs no yellow and more than one guess</t>
        </is>
      </c>
      <c r="C16" s="24" t="inlineStr">
        <is>
          <t>Pass</t>
        </is>
      </c>
      <c r="E16" s="17" t="inlineStr">
        <is>
          <t>I-015</t>
        </is>
      </c>
      <c r="F16" s="4" t="inlineStr">
        <is>
          <t>Dashboard endpoint unaffected</t>
        </is>
      </c>
      <c r="G16" s="4" t="inlineStr">
        <is>
          <t>GET get_unlocks.php | input: no token (ASP.NET calls this) | expected: 200 | actual: 200</t>
        </is>
      </c>
      <c r="H16" s="24" t="inlineStr">
        <is>
          <t>Pass</t>
        </is>
      </c>
    </row>
    <row r="17">
      <c r="A17" s="17" t="inlineStr">
        <is>
          <t>U-016</t>
        </is>
      </c>
      <c r="B17" s="4" t="inlineStr">
        <is>
          <t>AchievementBadgeTest: solving twice in one region does not count twice</t>
        </is>
      </c>
      <c r="C17" s="24" t="inlineStr">
        <is>
          <t>Pass</t>
        </is>
      </c>
      <c r="E17" s="17" t="inlineStr">
        <is>
          <t>I-016</t>
        </is>
      </c>
      <c r="F17" s="4" t="inlineStr">
        <is>
          <t>Dashboard endpoint unaffected</t>
        </is>
      </c>
      <c r="G17" s="4" t="inlineStr">
        <is>
          <t>GET get_profile_stats.php | input: no token (ASP.NET calls this) | expected: 200 | actual: 200</t>
        </is>
      </c>
      <c r="H17" s="24" t="inlineStr">
        <is>
          <t>Pass</t>
        </is>
      </c>
    </row>
    <row r="18">
      <c r="A18" s="17" t="inlineStr">
        <is>
          <t>U-017</t>
        </is>
      </c>
      <c r="B18" s="4" t="inlineStr">
        <is>
          <t>AchievementBadgeTest: world explorer needs every region</t>
        </is>
      </c>
      <c r="C18" s="24" t="inlineStr">
        <is>
          <t>Pass</t>
        </is>
      </c>
      <c r="E18" s="17" t="inlineStr">
        <is>
          <t>I-017</t>
        </is>
      </c>
      <c r="F18" s="4" t="inlineStr">
        <is>
          <t>Dashboard endpoint unaffected</t>
        </is>
      </c>
      <c r="G18" s="4" t="inlineStr">
        <is>
          <t>POST post_unlock.php | input: no token (ASP.NET calls this) | expected: 200 | actual: 200</t>
        </is>
      </c>
      <c r="H18" s="24" t="inlineStr">
        <is>
          <t>Pass</t>
        </is>
      </c>
    </row>
    <row r="19">
      <c r="A19" s="17" t="inlineStr">
        <is>
          <t>U-018</t>
        </is>
      </c>
      <c r="B19" s="4" t="inlineStr">
        <is>
          <t>BadgeArtTest: an unknown badge returns null rather than throwing</t>
        </is>
      </c>
      <c r="C19" s="24" t="inlineStr">
        <is>
          <t>Pass</t>
        </is>
      </c>
      <c r="E19" s="17" t="inlineStr">
        <is>
          <t>I-018</t>
        </is>
      </c>
      <c r="F19" s="4" t="inlineStr">
        <is>
          <t>Migration applies cleanly</t>
        </is>
      </c>
      <c r="G19" s="4" t="inlineStr">
        <is>
          <t>migration 004 | input: mysql &lt; 004_api_tokens_and_roles.sql | expected: users.role and api_tokens exist | actual: both present</t>
        </is>
      </c>
      <c r="H19" s="24" t="inlineStr">
        <is>
          <t>Pass</t>
        </is>
      </c>
    </row>
    <row r="20">
      <c r="A20" s="17" t="inlineStr">
        <is>
          <t>U-019</t>
        </is>
      </c>
      <c r="B20" s="4" t="inlineStr">
        <is>
          <t>BadgeArtTest: art is keyed on the badge id, not the title</t>
        </is>
      </c>
      <c r="C20" s="24" t="inlineStr">
        <is>
          <t>Pass</t>
        </is>
      </c>
      <c r="E20" s="17" t="inlineStr">
        <is>
          <t>I-019</t>
        </is>
      </c>
      <c r="F20" s="4" t="inlineStr">
        <is>
          <t>Reset OTP is not returned in the response</t>
        </is>
      </c>
      <c r="G20" s="4" t="inlineStr">
        <is>
          <t>POST request_password_reset.php | input: known email address | expected: no debug_code field | actual: no debug_code field</t>
        </is>
      </c>
      <c r="H20" s="24" t="inlineStr">
        <is>
          <t>Pass</t>
        </is>
      </c>
    </row>
    <row r="21">
      <c r="A21" s="17" t="inlineStr">
        <is>
          <t>U-020</t>
        </is>
      </c>
      <c r="B21" s="4" t="inlineStr">
        <is>
          <t>BadgeArtTest: distinct badges get distinct medals</t>
        </is>
      </c>
      <c r="C21" s="24" t="inlineStr">
        <is>
          <t>Pass</t>
        </is>
      </c>
      <c r="E21" s="17" t="inlineStr">
        <is>
          <t>I-020</t>
        </is>
      </c>
      <c r="F21" s="4" t="inlineStr">
        <is>
          <t>Login locks out after repeated failures</t>
        </is>
      </c>
      <c r="G21" s="4" t="inlineStr">
        <is>
          <t>POST login.php | input: 9 wrong passwords in a row | expected: 429 on attempt 9 | actual: 429 on attempt 9</t>
        </is>
      </c>
      <c r="H21" s="24" t="inlineStr">
        <is>
          <t>Pass</t>
        </is>
      </c>
    </row>
    <row r="22">
      <c r="A22" s="17" t="inlineStr">
        <is>
          <t>U-021</t>
        </is>
      </c>
      <c r="B22" s="4" t="inlineStr">
        <is>
          <t>BadgeArtTest: every badge in the catalogue has artwork</t>
        </is>
      </c>
      <c r="C22" s="24" t="inlineStr">
        <is>
          <t>Pass</t>
        </is>
      </c>
      <c r="E22" s="17" t="inlineStr">
        <is>
          <t>I-021</t>
        </is>
      </c>
      <c r="F22" s="4" t="inlineStr">
        <is>
          <t>OTP guessing locks out</t>
        </is>
      </c>
      <c r="G22" s="4" t="inlineStr">
        <is>
          <t>POST reset_password.php | input: 6 wrong codes in a row | expected: 429 on guess 6 | actual: 429 on guess 6</t>
        </is>
      </c>
      <c r="H22" s="24" t="inlineStr">
        <is>
          <t>Pass</t>
        </is>
      </c>
    </row>
    <row r="23">
      <c r="A23" s="17" t="inlineStr">
        <is>
          <t>U-022</t>
        </is>
      </c>
      <c r="B23" s="4" t="inlineStr">
        <is>
          <t>BadgeRulesTest: a badge already held is never awarded twice</t>
        </is>
      </c>
      <c r="C23" s="24" t="inlineStr">
        <is>
          <t>Pass</t>
        </is>
      </c>
      <c r="E23" s="17" t="inlineStr">
        <is>
          <t>I-022</t>
        </is>
      </c>
      <c r="F23" s="4" t="inlineStr">
        <is>
          <t>Register no longer confirms an email exists</t>
        </is>
      </c>
      <c r="G23" s="4" t="inlineStr">
        <is>
          <t>POST register.php | input: sign up with an already-registered email | expected: generic refusal | actual: "We could not create that account…"</t>
        </is>
      </c>
      <c r="H23" s="24" t="inlineStr">
        <is>
          <t>Pass</t>
        </is>
      </c>
    </row>
    <row r="24">
      <c r="A24" s="17" t="inlineStr">
        <is>
          <t>U-023</t>
        </is>
      </c>
      <c r="B24" s="4" t="inlineStr">
        <is>
          <t>BadgeRulesTest: catalog ids are unique</t>
        </is>
      </c>
      <c r="C24" s="24" t="inlineStr">
        <is>
          <t>Pass</t>
        </is>
      </c>
      <c r="E24" s="17" t="inlineStr">
        <is>
          <t>I-023</t>
        </is>
      </c>
      <c r="F24" s="4" t="inlineStr">
        <is>
          <t>Taken username still reported plainly</t>
        </is>
      </c>
      <c r="G24" s="4" t="inlineStr">
        <is>
          <t>POST register.php | input: sign up with an existing username | expected: "That username is taken" | actual: "That username is taken"</t>
        </is>
      </c>
      <c r="H24" s="24" t="inlineStr">
        <is>
          <t>Pass</t>
        </is>
      </c>
    </row>
    <row r="25">
      <c r="A25" s="17" t="inlineStr">
        <is>
          <t>U-024</t>
        </is>
      </c>
      <c r="B25" s="4" t="inlineStr">
        <is>
          <t>BadgeRulesTest: every badge family has at least one badge in the catalog</t>
        </is>
      </c>
      <c r="C25" s="24" t="inlineStr">
        <is>
          <t>Pass</t>
        </is>
      </c>
      <c r="E25" s="17" t="inlineStr">
        <is>
          <t>I-024</t>
        </is>
      </c>
      <c r="F25" s="4" t="inlineStr">
        <is>
          <t>No database internals in error responses</t>
        </is>
      </c>
      <c r="G25" s="4" t="inlineStr">
        <is>
          <t>all endpoints | input: force a PDO exception | expected: generic message | actual: generic message; detail in server log</t>
        </is>
      </c>
      <c r="H25" s="24" t="inlineStr">
        <is>
          <t>Pass</t>
        </is>
      </c>
    </row>
    <row r="26">
      <c r="A26" s="17" t="inlineStr">
        <is>
          <t>U-025</t>
        </is>
      </c>
      <c r="B26" s="4" t="inlineStr">
        <is>
          <t>BadgeRulesTest: nothing is awarded before the first milestone</t>
        </is>
      </c>
      <c r="C26" s="24" t="inlineStr">
        <is>
          <t>Pass</t>
        </is>
      </c>
      <c r="E26" s="17" t="inlineStr">
        <is>
          <t>I-025</t>
        </is>
      </c>
      <c r="F26" s="4" t="inlineStr">
        <is>
          <t>Logout revokes the token server-side</t>
        </is>
      </c>
      <c r="G26" s="4" t="inlineStr">
        <is>
          <t>POST logout.php | input: valid token then reuse it | expected: 401 afterwards | actual: 401; 0 rows left in api_tokens</t>
        </is>
      </c>
      <c r="H26" s="24" t="inlineStr">
        <is>
          <t>Pass</t>
        </is>
      </c>
    </row>
    <row r="27">
      <c r="A27" s="17" t="inlineStr">
        <is>
          <t>U-026</t>
        </is>
      </c>
      <c r="B27" s="4" t="inlineStr">
        <is>
          <t>BadgeRulesTest: passing a milestone unnoticed still awards it later</t>
        </is>
      </c>
      <c r="C27" s="24" t="inlineStr">
        <is>
          <t>Pass</t>
        </is>
      </c>
      <c r="E27" s="17" t="inlineStr">
        <is>
          <t>I-026</t>
        </is>
      </c>
      <c r="F27" s="4" t="inlineStr">
        <is>
          <t>Migration 005 applies cleanly</t>
        </is>
      </c>
      <c r="G27" s="4" t="inlineStr">
        <is>
          <t>migration 005 | input: mysql &lt; 005_auth_attempts_and_wallet.sql | expected: auth_attempts + users.wallet_address | actual: both present</t>
        </is>
      </c>
      <c r="H27" s="24" t="inlineStr">
        <is>
          <t>Pass</t>
        </is>
      </c>
    </row>
    <row r="28">
      <c r="A28" s="17" t="inlineStr">
        <is>
          <t>U-027</t>
        </is>
      </c>
      <c r="B28" s="4" t="inlineStr">
        <is>
          <t>BadgeRulesTest: perfect badges track first-guess solves</t>
        </is>
      </c>
      <c r="C28" s="24" t="inlineStr">
        <is>
          <t>Pass</t>
        </is>
      </c>
      <c r="E28" s="17" t="inlineStr">
        <is>
          <t>I-027</t>
        </is>
      </c>
      <c r="F28" s="4" t="inlineStr">
        <is>
          <t>Login issues a bearer token</t>
        </is>
      </c>
      <c r="G28" s="4" t="inlineStr">
        <is>
          <t>POST login.php | input: demo@kusinakode.local / Kusina@123 | expected: success + token | actual: success token ff3b9389…</t>
        </is>
      </c>
      <c r="H28" s="24" t="inlineStr">
        <is>
          <t>Pass</t>
        </is>
      </c>
    </row>
    <row r="29">
      <c r="A29" s="17" t="inlineStr">
        <is>
          <t>U-028</t>
        </is>
      </c>
      <c r="B29" s="4" t="inlineStr">
        <is>
          <t>BadgeRulesTest: round badge fires exactly on the threshold, not before</t>
        </is>
      </c>
      <c r="C29" s="24" t="inlineStr">
        <is>
          <t>Pass</t>
        </is>
      </c>
      <c r="E29" s="17" t="inlineStr">
        <is>
          <t>I-028</t>
        </is>
      </c>
      <c r="F29" s="4" t="inlineStr">
        <is>
          <t>Phase 1 trigger encrypts and hashes</t>
        </is>
      </c>
      <c r="G29" s="4" t="inlineStr">
        <is>
          <t>POST reward/trigger.php | input: Bearer token, {"event_type":"round_win","level_id":21} | expected: phase 1 pending payload_hash signature null | actual: phase=1 pending hash 7c09b5dd… signature null tx_hash null</t>
        </is>
      </c>
      <c r="H29" s="24" t="inlineStr">
        <is>
          <t>Pass</t>
        </is>
      </c>
    </row>
    <row r="30">
      <c r="A30" s="17" t="inlineStr">
        <is>
          <t>U-029</t>
        </is>
      </c>
      <c r="B30" s="4" t="inlineStr">
        <is>
          <t>BadgeRulesTest: streak badges follow the best streak, not the current one</t>
        </is>
      </c>
      <c r="C30" s="24" t="inlineStr">
        <is>
          <t>Pass</t>
        </is>
      </c>
      <c r="E30" s="17" t="inlineStr">
        <is>
          <t>I-029</t>
        </is>
      </c>
      <c r="F30" s="4" t="inlineStr">
        <is>
          <t>Phase 2 status poll ECDSA+PoA</t>
        </is>
      </c>
      <c r="G30" s="4" t="inlineStr">
        <is>
          <t>GET reward/status.php?tx_ref=kk_afa18649… | input: Bearer token | expected: phase 2 pending signature set block_ref null | actual: phase=2 pending signature MEQCIDfp… block_ref null tx_hash null</t>
        </is>
      </c>
      <c r="H30" s="24" t="inlineStr">
        <is>
          <t>Pass</t>
        </is>
      </c>
    </row>
    <row r="31">
      <c r="A31" s="17" t="inlineStr">
        <is>
          <t>U-030</t>
        </is>
      </c>
      <c r="B31" s="4" t="inlineStr">
        <is>
          <t>BadgeRulesTest: the three families the manuscript names are all present</t>
        </is>
      </c>
      <c r="C31" s="24" t="inlineStr">
        <is>
          <t>Pass</t>
        </is>
      </c>
      <c r="E31" s="17" t="inlineStr">
        <is>
          <t>I-030</t>
        </is>
      </c>
      <c r="F31" s="4" t="inlineStr">
        <is>
          <t>Phase 3 status poll append+sync</t>
        </is>
      </c>
      <c r="G31" s="4" t="inlineStr">
        <is>
          <t>GET reward/status.php?tx_ref=kk_afa18649… | input: Bearer token | expected: phase 3 pending block_ref set tx_hash null | actual: phase=3 pending block_ref 8a09a18d… tx_hash null</t>
        </is>
      </c>
      <c r="H31" s="24" t="inlineStr">
        <is>
          <t>Pass</t>
        </is>
      </c>
    </row>
    <row r="32">
      <c r="A32" s="17" t="inlineStr">
        <is>
          <t>U-031</t>
        </is>
      </c>
      <c r="B32" s="4" t="inlineStr">
        <is>
          <t>ChefRankTest: Head Chef leads to Kusina Master at the whole catalogue</t>
        </is>
      </c>
      <c r="C32" s="24" t="inlineStr">
        <is>
          <t>Pass</t>
        </is>
      </c>
      <c r="E32" s="17" t="inlineStr">
        <is>
          <t>I-031</t>
        </is>
      </c>
      <c r="F32" s="4" t="inlineStr">
        <is>
          <t>Phase 4 contract + TxHash receipt</t>
        </is>
      </c>
      <c r="G32" s="4" t="inlineStr">
        <is>
          <t>GET reward/status.php?tx_ref=kk_afa18649… | input: Bearer token | expected: phase 4 confirmed 0x tx_hash | actual: phase=4 confirmed tx_hash 0xe163f183… amount_kk=10</t>
        </is>
      </c>
      <c r="H32" s="24" t="inlineStr">
        <is>
          <t>Pass</t>
        </is>
      </c>
    </row>
    <row r="33">
      <c r="A33" s="17" t="inlineStr">
        <is>
          <t>U-032</t>
        </is>
      </c>
      <c r="B33" s="4" t="inlineStr">
        <is>
          <t>ChefRankTest: a new player is a Kusinero heading for Line Cook</t>
        </is>
      </c>
      <c r="C33" s="24" t="inlineStr">
        <is>
          <t>Pass</t>
        </is>
      </c>
      <c r="E33" s="17" t="inlineStr">
        <is>
          <t>I-032</t>
        </is>
      </c>
      <c r="F33" s="4" t="inlineStr">
        <is>
          <t>KKCoin balance after Phase 4 mint</t>
        </is>
      </c>
      <c r="G33" s="4" t="inlineStr">
        <is>
          <t>GET wallet/balance.php | input: Bearer token | expected: balance_kk 10 same wallet_address no keys | actual: balance_kk=10 address 0xcb2e9f… is_live true</t>
        </is>
      </c>
      <c r="H33" s="24" t="inlineStr">
        <is>
          <t>Pass</t>
        </is>
      </c>
    </row>
    <row r="34">
      <c r="A34" s="17" t="inlineStr">
        <is>
          <t>U-033</t>
        </is>
      </c>
      <c r="B34" s="4" t="inlineStr">
        <is>
          <t>ChefRankTest: a short catalogue skips steps it cannot reach</t>
        </is>
      </c>
      <c r="C34" s="24" t="inlineStr">
        <is>
          <t>Pass</t>
        </is>
      </c>
      <c r="E34" s="17" t="inlineStr">
        <is>
          <t>I-033</t>
        </is>
      </c>
      <c r="F34" s="4" t="inlineStr">
        <is>
          <t>Badge milestone live mint</t>
        </is>
      </c>
      <c r="G34" s="4" t="inlineStr">
        <is>
          <t>POST post_badge.php then GET reward/status.php x3 | input: demo token, badge_id live-mint-20260824 | expected: phase 4 confirmed 0x tx_hash NFT minted | actual: phase=4 confirmed tx_hash 0xae5021b2… amount_kk=25 badges.tx_hash set</t>
        </is>
      </c>
      <c r="H34" s="24" t="inlineStr">
        <is>
          <t>Pass</t>
        </is>
      </c>
    </row>
    <row r="35">
      <c r="A35" s="17" t="inlineStr">
        <is>
          <t>U-034</t>
        </is>
      </c>
      <c r="B35" s="4" t="inlineStr">
        <is>
          <t>ChefRankTest: every dish solved is Kusina Master, with nothing above it</t>
        </is>
      </c>
      <c r="C35" s="24" t="inlineStr">
        <is>
          <t>Pass</t>
        </is>
      </c>
      <c r="E35" s="17" t="inlineStr">
        <is>
          <t>I-034</t>
        </is>
      </c>
      <c r="F35" s="4" t="inlineStr">
        <is>
          <t>Duplicate badge does not re-fire pipeline</t>
        </is>
      </c>
      <c r="G35" s="4" t="inlineStr">
        <is>
          <t>POST post_badge.php same badge_id | input: demo token | expected: awarded false tx_ref null | actual: awarded false tx_ref null</t>
        </is>
      </c>
      <c r="H35" s="24" t="inlineStr">
        <is>
          <t>Pass</t>
        </is>
      </c>
    </row>
    <row r="36">
      <c r="A36" s="17" t="inlineStr">
        <is>
          <t>U-035</t>
        </is>
      </c>
      <c r="B36" s="4" t="inlineStr">
        <is>
          <t>ChefRankTest: ranks change exactly at the round badge thresholds</t>
        </is>
      </c>
      <c r="C36" s="24" t="inlineStr">
        <is>
          <t>Pass</t>
        </is>
      </c>
      <c r="E36" s="17" t="inlineStr">
        <is>
          <t>I-035</t>
        </is>
      </c>
      <c r="F36" s="4" t="inlineStr">
        <is>
          <t>Player cannot read audit log</t>
        </is>
      </c>
      <c r="G36" s="4" t="inlineStr">
        <is>
          <t>GET audit/log.php | input: player bearer token | expected: 403 Administrator role required | actual: 403</t>
        </is>
      </c>
      <c r="H36" s="24" t="inlineStr">
        <is>
          <t>Pass</t>
        </is>
      </c>
    </row>
    <row r="37">
      <c r="A37" s="17" t="inlineStr">
        <is>
          <t>U-036</t>
        </is>
      </c>
      <c r="B37" s="4" t="inlineStr">
        <is>
          <t>ChefRankTest: the ladder lists every rank up to Kusina Master at the total</t>
        </is>
      </c>
      <c r="C37" s="24" t="inlineStr">
        <is>
          <t>Pass</t>
        </is>
      </c>
      <c r="E37" s="17" t="inlineStr">
        <is>
          <t>I-036</t>
        </is>
      </c>
      <c r="F37" s="4" t="inlineStr">
        <is>
          <t>Admin audit log lists badge tx</t>
        </is>
      </c>
      <c r="G37" s="4" t="inlineStr">
        <is>
          <t>GET audit/log.php?event_type=badge_milestone | input: admin bearer token | expected: 200 data with badge_milestone | actual: 200 n&gt;=1 tx_ref kk_f5236886…</t>
        </is>
      </c>
      <c r="H37" s="24" t="inlineStr">
        <is>
          <t>Pass</t>
        </is>
      </c>
    </row>
    <row r="38">
      <c r="A38" s="17" t="inlineStr">
        <is>
          <t>U-037</t>
        </is>
      </c>
      <c r="B38" s="4" t="inlineStr">
        <is>
          <t>EquipLookRequestTest: backToTheDefaultLook_stillSendsBothSlots</t>
        </is>
      </c>
      <c r="C38" s="24" t="inlineStr">
        <is>
          <t>Pass</t>
        </is>
      </c>
      <c r="E38" s="17" t="inlineStr">
        <is>
          <t>I-037</t>
        </is>
      </c>
      <c r="F38" s="4" t="inlineStr">
        <is>
          <t>Admin audit tx by hash</t>
        </is>
      </c>
      <c r="G38" s="4" t="inlineStr">
        <is>
          <t>GET audit/tx.php?hash=0xae5021b2… | input: admin bearer token | expected: 200 matching receipt | actual: 200 same tx_ref and wallet</t>
        </is>
      </c>
      <c r="H38" s="24" t="inlineStr">
        <is>
          <t>Pass</t>
        </is>
      </c>
    </row>
    <row r="39">
      <c r="A39" s="17" t="inlineStr">
        <is>
          <t>U-038</t>
        </is>
      </c>
      <c r="B39" s="4" t="inlineStr">
        <is>
          <t>EquipLookRequestTest: wearingOneItem_sendsItAndClearsTheOtherSlot</t>
        </is>
      </c>
      <c r="C39" s="24" t="inlineStr">
        <is>
          <t>Pass</t>
        </is>
      </c>
      <c r="E39" s="17" t="inlineStr">
        <is>
          <t>I-038</t>
        </is>
      </c>
      <c r="F39" s="4" t="inlineStr">
        <is>
          <t>KKCoin balance after badge mint</t>
        </is>
      </c>
      <c r="G39" s="4" t="inlineStr">
        <is>
          <t>GET wallet/balance.php | input: demo token | expected: balance_kk 35 same wallet no keys | actual: balance_kk=35 address 0xcb2e9f… is_live true</t>
        </is>
      </c>
      <c r="H39" s="24" t="inlineStr">
        <is>
          <t>Pass</t>
        </is>
      </c>
    </row>
    <row r="40">
      <c r="A40" s="17" t="inlineStr">
        <is>
          <t>U-039</t>
        </is>
      </c>
      <c r="B40" s="4" t="inlineStr">
        <is>
          <t>EquipmentArtTest: an unknown tool returns null rather than throwing</t>
        </is>
      </c>
      <c r="C40" s="24" t="inlineStr">
        <is>
          <t>Pass</t>
        </is>
      </c>
      <c r="E40" s="17" t="inlineStr">
        <is>
          <t>I-039</t>
        </is>
      </c>
      <c r="F40" s="4" t="inlineStr">
        <is>
          <t>Mobile Rewards screen shows live KK balance</t>
        </is>
      </c>
      <c r="G40" s="4" t="inlineStr">
        <is>
          <t>GET wallet/balance.php via RewardsViewModel | input: demo login on emulator | expected: KK Token Balance 35 not stub 0 | actual: Rewards screen showed 35</t>
        </is>
      </c>
      <c r="H40" s="24" t="inlineStr">
        <is>
          <t>Pass</t>
        </is>
      </c>
    </row>
    <row r="41">
      <c r="A41" s="17" t="inlineStr">
        <is>
          <t>U-040</t>
        </is>
      </c>
      <c r="B41" s="4" t="inlineStr">
        <is>
          <t>EquipmentArtTest: every tool named in the dataset resolves to artwork</t>
        </is>
      </c>
      <c r="C41" s="24" t="inlineStr">
        <is>
          <t>Pass</t>
        </is>
      </c>
      <c r="E41" s="17" t="inlineStr">
        <is>
          <t>I-040</t>
        </is>
      </c>
      <c r="F41" s="4" t="inlineStr">
        <is>
          <t>Unauthenticated shop owned is rejected</t>
        </is>
      </c>
      <c r="G41" s="4" t="inlineStr">
        <is>
          <t>GET reward/shop.php | input: no token | expected: 401 | actual: 401</t>
        </is>
      </c>
      <c r="H41" s="24" t="inlineStr">
        <is>
          <t>Pass</t>
        </is>
      </c>
    </row>
    <row r="42">
      <c r="A42" s="17" t="inlineStr">
        <is>
          <t>U-041</t>
        </is>
      </c>
      <c r="B42" s="4" t="inlineStr">
        <is>
          <t>EquipmentArtTest: lookup ignores punctuation and casing differences in the sheet</t>
        </is>
      </c>
      <c r="C42" s="24" t="inlineStr">
        <is>
          <t>Pass</t>
        </is>
      </c>
      <c r="E42" s="17" t="inlineStr">
        <is>
          <t>I-041</t>
        </is>
      </c>
      <c r="F42" s="4" t="inlineStr">
        <is>
          <t>Unauthenticated shop spend is rejected</t>
        </is>
      </c>
      <c r="G42" s="4" t="inlineStr">
        <is>
          <t>POST reward/spend.php | input: no token, body {"power_up":"doc_adobo","user_id":1} | expected: 401 | actual: 401</t>
        </is>
      </c>
      <c r="H42" s="24" t="inlineStr">
        <is>
          <t>Pass</t>
        </is>
      </c>
    </row>
    <row r="43">
      <c r="A43" s="17" t="inlineStr">
        <is>
          <t>U-042</t>
        </is>
      </c>
      <c r="B43" s="4" t="inlineStr">
        <is>
          <t>ErrorMappingTest: a dropped socket is unreachable</t>
        </is>
      </c>
      <c r="C43" s="24" t="inlineStr">
        <is>
          <t>Pass</t>
        </is>
      </c>
      <c r="E43" s="17" t="inlineStr">
        <is>
          <t>I-042</t>
        </is>
      </c>
      <c r="F43" s="4" t="inlineStr">
        <is>
          <t>Migration 007 applies cleanly</t>
        </is>
      </c>
      <c r="G43" s="4" t="inlineStr">
        <is>
          <t>migration 007 | input: mysql &lt; 007_shop_unlocks.sql | expected: shop_unlocks table | actual: shop_unlocks present</t>
        </is>
      </c>
      <c r="H43" s="24" t="inlineStr">
        <is>
          <t>Pass</t>
        </is>
      </c>
    </row>
    <row r="44">
      <c r="A44" s="17" t="inlineStr">
        <is>
          <t>U-043</t>
        </is>
      </c>
      <c r="B44" s="4" t="inlineStr">
        <is>
          <t>ErrorMappingTest: a refused connection is unreachable, not unknown</t>
        </is>
      </c>
      <c r="C44" s="24" t="inlineStr">
        <is>
          <t>Pass</t>
        </is>
      </c>
      <c r="E44" s="17" t="inlineStr">
        <is>
          <t>I-043</t>
        </is>
      </c>
      <c r="F44" s="4" t="inlineStr">
        <is>
          <t>Migration 008 readable phpMyAdmin views</t>
        </is>
      </c>
      <c r="G44" s="4" t="inlineStr">
        <is>
          <t>migration 008 | input: mysql &lt; 008_readable_phpmyadmin.sql | expected: users_readable badges_readable reward_claims_readable shop_unlocks_readable | actual: views present original columns unchanged</t>
        </is>
      </c>
      <c r="H44" s="24" t="inlineStr">
        <is>
          <t>Pass</t>
        </is>
      </c>
    </row>
    <row r="45">
      <c r="A45" s="17" t="inlineStr">
        <is>
          <t>U-044</t>
        </is>
      </c>
      <c r="B45" s="4" t="inlineStr">
        <is>
          <t>ErrorMappingTest: a server refusal keeps its own wording and hides technical noise</t>
        </is>
      </c>
      <c r="C45" s="24" t="inlineStr">
        <is>
          <t>Pass</t>
        </is>
      </c>
      <c r="E45" s="17" t="inlineStr">
        <is>
          <t>I-044</t>
        </is>
      </c>
      <c r="F45" s="4" t="inlineStr">
        <is>
          <t>Login lockout is per account not per IP</t>
        </is>
      </c>
      <c r="G45" s="4" t="inlineStr">
        <is>
          <t>POST login.php | input: 8 fails on account A then login account B from same IP | expected: account B not 429 | actual: account B not 429</t>
        </is>
      </c>
      <c r="H45" s="24" t="inlineStr">
        <is>
          <t>Pass</t>
        </is>
      </c>
    </row>
    <row r="46">
      <c r="A46" s="17" t="inlineStr">
        <is>
          <t>U-045</t>
        </is>
      </c>
      <c r="B46" s="4" t="inlineStr">
        <is>
          <t>ErrorMappingTest: a successful result passes through untouched</t>
        </is>
      </c>
      <c r="C46" s="24" t="inlineStr">
        <is>
          <t>Pass</t>
        </is>
      </c>
      <c r="E46" s="17" t="inlineStr">
        <is>
          <t>I-045</t>
        </is>
      </c>
      <c r="F46" s="4" t="inlineStr">
        <is>
          <t>Unauthenticated pantry snapshot is rejected</t>
        </is>
      </c>
      <c r="G46" s="4" t="inlineStr">
        <is>
          <t>GET pantry/snapshot.php | input: no token | expected: 401 JSON | actual: 401 Authentication required</t>
        </is>
      </c>
      <c r="H46" s="24" t="inlineStr">
        <is>
          <t>Pass</t>
        </is>
      </c>
    </row>
    <row r="47">
      <c r="A47" s="17" t="inlineStr">
        <is>
          <t>U-046</t>
        </is>
      </c>
      <c r="B47" s="4" t="inlineStr">
        <is>
          <t>ErrorMappingTest: a timeout reads as the server not answering, not as being offline</t>
        </is>
      </c>
      <c r="C47" s="24" t="inlineStr">
        <is>
          <t>Pass</t>
        </is>
      </c>
      <c r="E47" s="17" t="inlineStr">
        <is>
          <t>I-046</t>
        </is>
      </c>
      <c r="F47" s="4" t="inlineStr">
        <is>
          <t>Unauthenticated report submit is rejected</t>
        </is>
      </c>
      <c r="G47" s="4" t="inlineStr">
        <is>
          <t>POST report/submit.php | input: no token | expected: 401 JSON | actual: 401 Authentication required</t>
        </is>
      </c>
      <c r="H47" s="24" t="inlineStr">
        <is>
          <t>Pass</t>
        </is>
      </c>
    </row>
    <row r="48">
      <c r="A48" s="17" t="inlineStr">
        <is>
          <t>U-047</t>
        </is>
      </c>
      <c r="B48" s="4" t="inlineStr">
        <is>
          <t>ErrorMappingTest: an unrecognised failure still produces something calm and retryable</t>
        </is>
      </c>
      <c r="C48" s="24" t="inlineStr">
        <is>
          <t>Pass</t>
        </is>
      </c>
    </row>
    <row r="49">
      <c r="A49" s="17" t="inlineStr">
        <is>
          <t>U-048</t>
        </is>
      </c>
      <c r="B49" s="4" t="inlineStr">
        <is>
          <t>ErrorMappingTest: an unresolvable host reads as offline</t>
        </is>
      </c>
      <c r="C49" s="24" t="inlineStr">
        <is>
          <t>Pass</t>
        </is>
      </c>
    </row>
    <row r="50">
      <c r="A50" s="17" t="inlineStr">
        <is>
          <t>U-049</t>
        </is>
      </c>
      <c r="B50" s="4" t="inlineStr">
        <is>
          <t>ErrorMappingTest: mapNetworkError wraps a failure once, not repeatedly</t>
        </is>
      </c>
      <c r="C50" s="24" t="inlineStr">
        <is>
          <t>Pass</t>
        </is>
      </c>
    </row>
    <row r="51">
      <c r="A51" s="17" t="inlineStr">
        <is>
          <t>U-050</t>
        </is>
      </c>
      <c r="B51" s="4" t="inlineStr">
        <is>
          <t>ErrorMappingTest: no message ever leaks a raw url into the headline</t>
        </is>
      </c>
      <c r="C51" s="24" t="inlineStr">
        <is>
          <t>Pass</t>
        </is>
      </c>
    </row>
    <row r="52">
      <c r="A52" s="17" t="inlineStr">
        <is>
          <t>U-051</t>
        </is>
      </c>
      <c r="B52" s="4" t="inlineStr">
        <is>
          <t>ExampleUnitTest: addition_isCorrect</t>
        </is>
      </c>
      <c r="C52" s="24" t="inlineStr">
        <is>
          <t>Pass</t>
        </is>
      </c>
    </row>
    <row r="53">
      <c r="A53" s="17" t="inlineStr">
        <is>
          <t>U-052</t>
        </is>
      </c>
      <c r="B53" s="4" t="inlineStr">
        <is>
          <t>FeaturedBadgesTest: a chosen badge that is not earned is dropped, not shown as locked</t>
        </is>
      </c>
      <c r="C53" s="24" t="inlineStr">
        <is>
          <t>Pass</t>
        </is>
      </c>
    </row>
    <row r="54">
      <c r="A54" s="17" t="inlineStr">
        <is>
          <t>U-053</t>
        </is>
      </c>
      <c r="B54" s="4" t="inlineStr">
        <is>
          <t>FeaturedBadgesTest: a chosen showcase is shown in the player's order</t>
        </is>
      </c>
      <c r="C54" s="24" t="inlineStr">
        <is>
          <t>Pass</t>
        </is>
      </c>
    </row>
    <row r="55">
      <c r="A55" s="17" t="inlineStr">
        <is>
          <t>U-054</t>
        </is>
      </c>
      <c r="B55" s="4" t="inlineStr">
        <is>
          <t>FeaturedBadgesTest: a new player with nothing earned still sees locked slots to aim at</t>
        </is>
      </c>
      <c r="C55" s="24" t="inlineStr">
        <is>
          <t>Pass</t>
        </is>
      </c>
    </row>
    <row r="56">
      <c r="A56" s="17" t="inlineStr">
        <is>
          <t>U-055</t>
        </is>
      </c>
      <c r="B56" s="4" t="inlineStr">
        <is>
          <t>FeaturedBadgesTest: a partial choice is topped up rather than leaving gaps</t>
        </is>
      </c>
      <c r="C56" s="24" t="inlineStr">
        <is>
          <t>Pass</t>
        </is>
      </c>
    </row>
    <row r="57">
      <c r="A57" s="17" t="inlineStr">
        <is>
          <t>U-056</t>
        </is>
      </c>
      <c r="B57" s="4" t="inlineStr">
        <is>
          <t>FeaturedBadgesTest: a short roster does not pad beyond what exists</t>
        </is>
      </c>
      <c r="C57" s="24" t="inlineStr">
        <is>
          <t>Pass</t>
        </is>
      </c>
    </row>
    <row r="58">
      <c r="A58" s="17" t="inlineStr">
        <is>
          <t>U-057</t>
        </is>
      </c>
      <c r="B58" s="4" t="inlineStr">
        <is>
          <t>FeaturedBadgesTest: more choices than slots are trimmed to the first ones</t>
        </is>
      </c>
      <c r="C58" s="24" t="inlineStr">
        <is>
          <t>Pass</t>
        </is>
      </c>
    </row>
    <row r="59">
      <c r="A59" s="17" t="inlineStr">
        <is>
          <t>U-058</t>
        </is>
      </c>
      <c r="B59" s="4" t="inlineStr">
        <is>
          <t>FeaturedBadgesTest: no choice falls back to earned badges first</t>
        </is>
      </c>
      <c r="C59" s="24" t="inlineStr">
        <is>
          <t>Pass</t>
        </is>
      </c>
    </row>
    <row r="60">
      <c r="A60" s="17" t="inlineStr">
        <is>
          <t>U-059</t>
        </is>
      </c>
      <c r="B60" s="4" t="inlineStr">
        <is>
          <t>FeaturedBadgesTest: the shelf never repeats a badge</t>
        </is>
      </c>
      <c r="C60" s="24" t="inlineStr">
        <is>
          <t>Pass</t>
        </is>
      </c>
    </row>
    <row r="61">
      <c r="A61" s="17" t="inlineStr">
        <is>
          <t>U-060</t>
        </is>
      </c>
      <c r="B61" s="4" t="inlineStr">
        <is>
          <t>GameViewModelTest: a finished round is dropped rather than resumed</t>
        </is>
      </c>
      <c r="C61" s="24" t="inlineStr">
        <is>
          <t>Pass</t>
        </is>
      </c>
    </row>
    <row r="62">
      <c r="A62" s="17" t="inlineStr">
        <is>
          <t>U-061</t>
        </is>
      </c>
      <c r="B62" s="4" t="inlineStr">
        <is>
          <t>GameViewModelTest: a snapshot from a different word length is discarded</t>
        </is>
      </c>
      <c r="C62" s="24" t="inlineStr">
        <is>
          <t>Pass</t>
        </is>
      </c>
    </row>
    <row r="63">
      <c r="A63" s="17" t="inlineStr">
        <is>
          <t>U-062</t>
        </is>
      </c>
      <c r="B63" s="4" t="inlineStr">
        <is>
          <t>GameViewModelTest: an untouched board is not treated as something to resume</t>
        </is>
      </c>
      <c r="C63" s="24" t="inlineStr">
        <is>
          <t>Pass</t>
        </is>
      </c>
    </row>
    <row r="64">
      <c r="A64" s="17" t="inlineStr">
        <is>
          <t>U-063</t>
        </is>
      </c>
      <c r="B64" s="4" t="inlineStr">
        <is>
          <t>GameViewModelTest: attempt duration is reported in milliseconds</t>
        </is>
      </c>
      <c r="C64" s="24" t="inlineStr">
        <is>
          <t>Pass</t>
        </is>
      </c>
    </row>
    <row r="65">
      <c r="A65" s="17" t="inlineStr">
        <is>
          <t>U-064</t>
        </is>
      </c>
      <c r="B65" s="4" t="inlineStr">
        <is>
          <t>GameViewModelTest: board is six rows tall regardless of word length</t>
        </is>
      </c>
      <c r="C65" s="24" t="inlineStr">
        <is>
          <t>Pass</t>
        </is>
      </c>
    </row>
    <row r="66">
      <c r="A66" s="17" t="inlineStr">
        <is>
          <t>U-065</t>
        </is>
      </c>
      <c r="B66" s="4" t="inlineStr">
        <is>
          <t>GameViewModelTest: correct guess wins the round and completes the level</t>
        </is>
      </c>
      <c r="C66" s="24" t="inlineStr">
        <is>
          <t>Pass</t>
        </is>
      </c>
    </row>
    <row r="67">
      <c r="A67" s="17" t="inlineStr">
        <is>
          <t>U-066</t>
        </is>
      </c>
      <c r="B67" s="4" t="inlineStr">
        <is>
          <t>GameViewModelTest: every submitted guess is recorded with level and correctness</t>
        </is>
      </c>
      <c r="C67" s="24" t="inlineStr">
        <is>
          <t>Pass</t>
        </is>
      </c>
    </row>
    <row r="68">
      <c r="A68" s="17" t="inlineStr">
        <is>
          <t>U-067</t>
        </is>
      </c>
      <c r="B68" s="4" t="inlineStr">
        <is>
          <t>GameViewModelTest: grid dimensions follow word length, not a fixed 6x6</t>
        </is>
      </c>
      <c r="C68" s="24" t="inlineStr">
        <is>
          <t>Pass</t>
        </is>
      </c>
    </row>
    <row r="69">
      <c r="A69" s="17" t="inlineStr">
        <is>
          <t>U-068</t>
        </is>
      </c>
      <c r="B69" s="4" t="inlineStr">
        <is>
          <t>GameViewModelTest: incomplete guess is not evaluated or recorded</t>
        </is>
      </c>
      <c r="C69" s="24" t="inlineStr">
        <is>
          <t>Pass</t>
        </is>
      </c>
    </row>
    <row r="70">
      <c r="A70" s="17" t="inlineStr">
        <is>
          <t>U-069</t>
        </is>
      </c>
      <c r="B70" s="4" t="inlineStr">
        <is>
          <t>GameViewModelTest: instant solve does nothing without enough KK</t>
        </is>
      </c>
      <c r="C70" s="24" t="inlineStr">
        <is>
          <t>Pass</t>
        </is>
      </c>
    </row>
    <row r="71">
      <c r="A71" s="17" t="inlineStr">
        <is>
          <t>U-070</t>
        </is>
      </c>
      <c r="B71" s="4" t="inlineStr">
        <is>
          <t>GameViewModelTest: instant solve fills the answer and ends the round</t>
        </is>
      </c>
      <c r="C71" s="24" t="inlineStr">
        <is>
          <t>Pass</t>
        </is>
      </c>
    </row>
    <row r="72">
      <c r="A72" s="17" t="inlineStr">
        <is>
          <t>U-071</t>
        </is>
      </c>
      <c r="B72" s="4" t="inlineStr">
        <is>
          <t>GameViewModelTest: leaving mid-round and coming back resumes the same board</t>
        </is>
      </c>
      <c r="C72" s="24" t="inlineStr">
        <is>
          <t>Pass</t>
        </is>
      </c>
    </row>
    <row r="73">
      <c r="A73" s="17" t="inlineStr">
        <is>
          <t>U-072</t>
        </is>
      </c>
      <c r="B73" s="4" t="inlineStr">
        <is>
          <t>GameViewModelTest: no input accepted after the round ends</t>
        </is>
      </c>
      <c r="C73" s="24" t="inlineStr">
        <is>
          <t>Pass</t>
        </is>
      </c>
    </row>
    <row r="74">
      <c r="A74" s="17" t="inlineStr">
        <is>
          <t>U-073</t>
        </is>
      </c>
      <c r="B74" s="4" t="inlineStr">
        <is>
          <t>GameViewModelTest: restart resets the round completely</t>
        </is>
      </c>
      <c r="C74" s="24" t="inlineStr">
        <is>
          <t>Pass</t>
        </is>
      </c>
    </row>
    <row r="75">
      <c r="A75" s="17" t="inlineStr">
        <is>
          <t>U-074</t>
        </is>
      </c>
      <c r="B75" s="4" t="inlineStr">
        <is>
          <t>GameViewModelTest: reveal does not lock a column already marked green</t>
        </is>
      </c>
      <c r="C75" s="24" t="inlineStr">
        <is>
          <t>Pass</t>
        </is>
      </c>
    </row>
    <row r="76">
      <c r="A76" s="17" t="inlineStr">
        <is>
          <t>U-075</t>
        </is>
      </c>
      <c r="B76" s="4" t="inlineStr">
        <is>
          <t>GameViewModelTest: reveal does not spend KK when every column is already green</t>
        </is>
      </c>
      <c r="C76" s="24" t="inlineStr">
        <is>
          <t>Pass</t>
        </is>
      </c>
    </row>
    <row r="77">
      <c r="A77" s="17" t="inlineStr">
        <is>
          <t>U-076</t>
        </is>
      </c>
      <c r="B77" s="4" t="inlineStr">
        <is>
          <t>GameViewModelTest: round ends in game over after max attempts of wrong guesses</t>
        </is>
      </c>
      <c r="C77" s="24" t="inlineStr">
        <is>
          <t>Pass</t>
        </is>
      </c>
    </row>
    <row r="78">
      <c r="A78" s="17" t="inlineStr">
        <is>
          <t>U-077</t>
        </is>
      </c>
      <c r="B78" s="4" t="inlineStr">
        <is>
          <t>GameViewModelTest: timer ticks only while unpaused and round is active</t>
        </is>
      </c>
      <c r="C78" s="24" t="inlineStr">
        <is>
          <t>Pass</t>
        </is>
      </c>
    </row>
    <row r="79">
      <c r="A79" s="17" t="inlineStr">
        <is>
          <t>U-078</t>
        </is>
      </c>
      <c r="B79" s="4" t="inlineStr">
        <is>
          <t>GamificationCoordinatorTest: a genuinely new level still scores after seeding</t>
        </is>
      </c>
      <c r="C79" s="24" t="inlineStr">
        <is>
          <t>Pass</t>
        </is>
      </c>
    </row>
    <row r="80">
      <c r="A80" s="17" t="inlineStr">
        <is>
          <t>U-079</t>
        </is>
      </c>
      <c r="B80" s="4" t="inlineStr">
        <is>
          <t>GamificationCoordinatorTest: a power-up the player cannot afford charges nothing</t>
        </is>
      </c>
      <c r="C80" s="24" t="inlineStr">
        <is>
          <t>Pass</t>
        </is>
      </c>
    </row>
    <row r="81">
      <c r="A81" s="17" t="inlineStr">
        <is>
          <t>U-080</t>
        </is>
      </c>
      <c r="B81" s="4" t="inlineStr">
        <is>
          <t>GamificationCoordinatorTest: an account the server has never seen still bootstraps locally</t>
        </is>
      </c>
      <c r="C81" s="24" t="inlineStr">
        <is>
          <t>Pass</t>
        </is>
      </c>
    </row>
    <row r="82">
      <c r="A82" s="17" t="inlineStr">
        <is>
          <t>U-081</t>
        </is>
      </c>
      <c r="B82" s="4" t="inlineStr">
        <is>
          <t>GamificationCoordinatorTest: badges are awarded once even across repeated rounds</t>
        </is>
      </c>
      <c r="C82" s="24" t="inlineStr">
        <is>
          <t>Pass</t>
        </is>
      </c>
    </row>
    <row r="83">
      <c r="A83" s="17" t="inlineStr">
        <is>
          <t>U-082</t>
        </is>
      </c>
      <c r="B83" s="4" t="inlineStr">
        <is>
          <t>GamificationCoordinatorTest: dishes solved before gamification existed are credited once</t>
        </is>
      </c>
      <c r="C83" s="24" t="inlineStr">
        <is>
          <t>Pass</t>
        </is>
      </c>
    </row>
    <row r="84">
      <c r="A84" s="17" t="inlineStr">
        <is>
          <t>U-083</t>
        </is>
      </c>
      <c r="B84" s="4" t="inlineStr">
        <is>
          <t>GamificationCoordinatorTest: points spent on a power-up are not handed back by the next sync</t>
        </is>
      </c>
      <c r="C84" s="24" t="inlineStr">
        <is>
          <t>Pass</t>
        </is>
      </c>
    </row>
    <row r="85">
      <c r="A85" s="17" t="inlineStr">
        <is>
          <t>U-084</t>
        </is>
      </c>
      <c r="B85" s="4" t="inlineStr">
        <is>
          <t>GamificationCoordinatorTest: replaying the same level does not award points twice</t>
        </is>
      </c>
      <c r="C85" s="24" t="inlineStr">
        <is>
          <t>Pass</t>
        </is>
      </c>
    </row>
    <row r="86">
      <c r="A86" s="17" t="inlineStr">
        <is>
          <t>U-085</t>
        </is>
      </c>
      <c r="B86" s="4" t="inlineStr">
        <is>
          <t>GamificationCoordinatorTest: restored solved levels still block replay farming</t>
        </is>
      </c>
      <c r="C86" s="24" t="inlineStr">
        <is>
          <t>Pass</t>
        </is>
      </c>
    </row>
    <row r="87">
      <c r="A87" s="17" t="inlineStr">
        <is>
          <t>U-086</t>
        </is>
      </c>
      <c r="B87" s="4" t="inlineStr">
        <is>
          <t>GamificationCoordinatorTest: seeding grants the badges those old solves already earned</t>
        </is>
      </c>
      <c r="C87" s="24" t="inlineStr">
        <is>
          <t>Pass</t>
        </is>
      </c>
    </row>
    <row r="88">
      <c r="A88" s="17" t="inlineStr">
        <is>
          <t>U-087</t>
        </is>
      </c>
      <c r="B88" s="4" t="inlineStr">
        <is>
          <t>GamificationCoordinatorTest: signing in on a new device restores the account's real state</t>
        </is>
      </c>
      <c r="C88" s="24" t="inlineStr">
        <is>
          <t>Pass</t>
        </is>
      </c>
    </row>
    <row r="89">
      <c r="A89" s="17" t="inlineStr">
        <is>
          <t>U-088</t>
        </is>
      </c>
      <c r="B89" s="4" t="inlineStr">
        <is>
          <t>HeldLevelsTest: Piaya is Visayas Level 3</t>
        </is>
      </c>
      <c r="C89" s="24" t="inlineStr">
        <is>
          <t>Pass</t>
        </is>
      </c>
    </row>
    <row r="90">
      <c r="A90" s="17" t="inlineStr">
        <is>
          <t>U-089</t>
        </is>
      </c>
      <c r="B90" s="4" t="inlineStr">
        <is>
          <t>HeldLevelsTest: Piaya, Kulma and Pigar-Pigar are levels 28 to 30, the web panel's ids</t>
        </is>
      </c>
      <c r="C90" s="24" t="inlineStr">
        <is>
          <t>Pass</t>
        </is>
      </c>
    </row>
    <row r="91">
      <c r="A91" s="17" t="inlineStr">
        <is>
          <t>U-090</t>
        </is>
      </c>
      <c r="B91" s="4" t="inlineStr">
        <is>
          <t>HeldLevelsTest: a Draft on a normal level does not hide it</t>
        </is>
      </c>
      <c r="C91" s="24" t="inlineStr">
        <is>
          <t>Pass</t>
        </is>
      </c>
    </row>
    <row r="92">
      <c r="A92" s="17" t="inlineStr">
        <is>
          <t>U-091</t>
        </is>
      </c>
      <c r="B92" s="4" t="inlineStr">
        <is>
          <t>HeldLevelsTest: held levels start hidden until the panel publishes them</t>
        </is>
      </c>
      <c r="C92" s="24" t="inlineStr">
        <is>
          <t>Pass</t>
        </is>
      </c>
    </row>
    <row r="93">
      <c r="A93" s="17" t="inlineStr">
        <is>
          <t>U-092</t>
        </is>
      </c>
      <c r="B93" s="4" t="inlineStr">
        <is>
          <t>HeldLevelsTest: hidden levels are left out of the island order and the counts</t>
        </is>
      </c>
      <c r="C93" s="24" t="inlineStr">
        <is>
          <t>Pass</t>
        </is>
      </c>
    </row>
    <row r="94">
      <c r="A94" s="17" t="inlineStr">
        <is>
          <t>U-093</t>
        </is>
      </c>
      <c r="B94" s="4" t="inlineStr">
        <is>
          <t>HeldLevelsTest: once published, each held dish is the last of its island</t>
        </is>
      </c>
      <c r="C94" s="24" t="inlineStr">
        <is>
          <t>Pass</t>
        </is>
      </c>
    </row>
    <row r="95">
      <c r="A95" s="17" t="inlineStr">
        <is>
          <t>U-094</t>
        </is>
      </c>
      <c r="B95" s="4" t="inlineStr">
        <is>
          <t>HeldLevelsTest: publishing shows a held level and Draft hides it again, numbers unchanged</t>
        </is>
      </c>
      <c r="C95" s="24" t="inlineStr">
        <is>
          <t>Pass</t>
        </is>
      </c>
    </row>
    <row r="96">
      <c r="A96" s="17" t="inlineStr">
        <is>
          <t>U-095</t>
        </is>
      </c>
      <c r="B96" s="4" t="inlineStr">
        <is>
          <t>HeldLevelsTest: the board shows a dash only where the name has one</t>
        </is>
      </c>
      <c r="C96" s="24" t="inlineStr">
        <is>
          <t>Pass</t>
        </is>
      </c>
    </row>
    <row r="97">
      <c r="A97" s="17" t="inlineStr">
        <is>
          <t>U-096</t>
        </is>
      </c>
      <c r="B97" s="4" t="inlineStr">
        <is>
          <t>HeldLevelsTest: the first 27 level numbers are exactly as they shipped</t>
        </is>
      </c>
      <c r="C97" s="24" t="inlineStr">
        <is>
          <t>Pass</t>
        </is>
      </c>
    </row>
    <row r="98">
      <c r="A98" s="17" t="inlineStr">
        <is>
          <t>U-097</t>
        </is>
      </c>
      <c r="B98" s="4" t="inlineStr">
        <is>
          <t>HeldLevelsTest: the panel may write Pigar-Pigar with its hyphen</t>
        </is>
      </c>
      <c r="C98" s="24" t="inlineStr">
        <is>
          <t>Pass</t>
        </is>
      </c>
    </row>
    <row r="99">
      <c r="A99" s="17" t="inlineStr">
        <is>
          <t>U-098</t>
        </is>
      </c>
      <c r="B99" s="4" t="inlineStr">
        <is>
          <t>IngredientArtTest: an unknown ingredient returns null rather than throwing</t>
        </is>
      </c>
      <c r="C99" s="24" t="inlineStr">
        <is>
          <t>Pass</t>
        </is>
      </c>
    </row>
    <row r="100">
      <c r="A100" s="17" t="inlineStr">
        <is>
          <t>U-099</t>
        </is>
      </c>
      <c r="B100" s="4" t="inlineStr">
        <is>
          <t>IngredientArtTest: coverage is real, not an empty dataset</t>
        </is>
      </c>
      <c r="C100" s="24" t="inlineStr">
        <is>
          <t>Pass</t>
        </is>
      </c>
    </row>
    <row r="101">
      <c r="A101" s="17" t="inlineStr">
        <is>
          <t>U-100</t>
        </is>
      </c>
      <c r="B101" s="4" t="inlineStr">
        <is>
          <t>IngredientArtTest: every ingredient in the book has a picture by its name</t>
        </is>
      </c>
      <c r="C101" s="24" t="inlineStr">
        <is>
          <t>Pass</t>
        </is>
      </c>
    </row>
    <row r="102">
      <c r="A102" s="17" t="inlineStr">
        <is>
          <t>U-101</t>
        </is>
      </c>
      <c r="B102" s="4" t="inlineStr">
        <is>
          <t>IngredientArtTest: every ingredient in the dataset has photography</t>
        </is>
      </c>
      <c r="C102" s="24" t="inlineStr">
        <is>
          <t>Pass</t>
        </is>
      </c>
    </row>
    <row r="103">
      <c r="A103" s="17" t="inlineStr">
        <is>
          <t>U-102</t>
        </is>
      </c>
      <c r="B103" s="4" t="inlineStr">
        <is>
          <t>IngredientArtTest: lookup ignores casing and punctuation</t>
        </is>
      </c>
      <c r="C103" s="24" t="inlineStr">
        <is>
          <t>Pass</t>
        </is>
      </c>
    </row>
    <row r="104">
      <c r="A104" s="17" t="inlineStr">
        <is>
          <t>U-103</t>
        </is>
      </c>
      <c r="B104" s="4" t="inlineStr">
        <is>
          <t>IngredientArtTest: the web console's names get the pantry picture</t>
        </is>
      </c>
      <c r="C104" s="24" t="inlineStr">
        <is>
          <t>Pass</t>
        </is>
      </c>
    </row>
    <row r="105">
      <c r="A105" s="17" t="inlineStr">
        <is>
          <t>U-104</t>
        </is>
      </c>
      <c r="B105" s="4" t="inlineStr">
        <is>
          <t>IngredientCatalogRemoteTest: a new web ingredient joins the book after the bundled ones</t>
        </is>
      </c>
      <c r="C105" s="24" t="inlineStr">
        <is>
          <t>Pass</t>
        </is>
      </c>
    </row>
    <row r="106">
      <c r="A106" s="17" t="inlineStr">
        <is>
          <t>U-105</t>
        </is>
      </c>
      <c r="B106" s="4" t="inlineStr">
        <is>
          <t>IngredientCatalogRemoteTest: an empty web list keeps the bundled book</t>
        </is>
      </c>
      <c r="C106" s="24" t="inlineStr">
        <is>
          <t>Pass</t>
        </is>
      </c>
    </row>
    <row r="107">
      <c r="A107" s="17" t="inlineStr">
        <is>
          <t>U-106</t>
        </is>
      </c>
      <c r="B107" s="4" t="inlineStr">
        <is>
          <t>IngredientCatalogRemoteTest: an id no list knows still resolves, so a jar is never dropped</t>
        </is>
      </c>
      <c r="C107" s="24" t="inlineStr">
        <is>
          <t>Pass</t>
        </is>
      </c>
    </row>
    <row r="108">
      <c r="A108" s="17" t="inlineStr">
        <is>
          <t>U-107</t>
        </is>
      </c>
      <c r="B108" s="4" t="inlineStr">
        <is>
          <t>IngredientCatalogRemoteTest: an ingredient the web no longer lists leaves the book but stays nameable</t>
        </is>
      </c>
      <c r="C108" s="24" t="inlineStr">
        <is>
          <t>Pass</t>
        </is>
      </c>
    </row>
    <row r="109">
      <c r="A109" s="17" t="inlineStr">
        <is>
          <t>U-108</t>
        </is>
      </c>
      <c r="B109" s="4" t="inlineStr">
        <is>
          <t>IngredientCatalogRemoteTest: an unknown rarity reads as common</t>
        </is>
      </c>
      <c r="C109" s="24" t="inlineStr">
        <is>
          <t>Pass</t>
        </is>
      </c>
    </row>
    <row r="110">
      <c r="A110" s="17" t="inlineStr">
        <is>
          <t>U-109</t>
        </is>
      </c>
      <c r="B110" s="4" t="inlineStr">
        <is>
          <t>IngredientCatalogRemoteTest: the web's wording and rarity win for a known id</t>
        </is>
      </c>
      <c r="C110" s="24" t="inlineStr">
        <is>
          <t>Pass</t>
        </is>
      </c>
    </row>
    <row r="111">
      <c r="A111" s="17" t="inlineStr">
        <is>
          <t>U-110</t>
        </is>
      </c>
      <c r="B111" s="4" t="inlineStr">
        <is>
          <t>IngredientCatalogRemoteTest: with nothing from the web the bundled book stands</t>
        </is>
      </c>
      <c r="C111" s="24" t="inlineStr">
        <is>
          <t>Pass</t>
        </is>
      </c>
    </row>
    <row r="112">
      <c r="A112" s="17" t="inlineStr">
        <is>
          <t>U-111</t>
        </is>
      </c>
      <c r="B112" s="4" t="inlineStr">
        <is>
          <t>IngredientLineTest: bare measurements are dropped</t>
        </is>
      </c>
      <c r="C112" s="24" t="inlineStr">
        <is>
          <t>Pass</t>
        </is>
      </c>
    </row>
    <row r="113">
      <c r="A113" s="17" t="inlineStr">
        <is>
          <t>U-112</t>
        </is>
      </c>
      <c r="B113" s="4" t="inlineStr">
        <is>
          <t>IngredientLineTest: duplicates are removed, keeping the first spelling</t>
        </is>
      </c>
      <c r="C113" s="24" t="inlineStr">
        <is>
          <t>Pass</t>
        </is>
      </c>
    </row>
    <row r="114">
      <c r="A114" s="17" t="inlineStr">
        <is>
          <t>U-113</t>
        </is>
      </c>
      <c r="B114" s="4" t="inlineStr">
        <is>
          <t>IngredientLineTest: headers and measurements are stripped from the whole list</t>
        </is>
      </c>
      <c r="C114" s="24" t="inlineStr">
        <is>
          <t>Pass</t>
        </is>
      </c>
    </row>
    <row r="115">
      <c r="A115" s="17" t="inlineStr">
        <is>
          <t>U-114</t>
        </is>
      </c>
      <c r="B115" s="4" t="inlineStr">
        <is>
          <t>IngredientLineTest: matching ignores case and surrounding space</t>
        </is>
      </c>
      <c r="C115" s="24" t="inlineStr">
        <is>
          <t>Pass</t>
        </is>
      </c>
    </row>
    <row r="116">
      <c r="A116" s="17" t="inlineStr">
        <is>
          <t>U-115</t>
        </is>
      </c>
      <c r="B116" s="4" t="inlineStr">
        <is>
          <t>IngredientLineTest: only the first word is read as a unit</t>
        </is>
      </c>
      <c r="C116" s="24" t="inlineStr">
        <is>
          <t>Pass</t>
        </is>
      </c>
    </row>
    <row r="117">
      <c r="A117" s="17" t="inlineStr">
        <is>
          <t>U-116</t>
        </is>
      </c>
      <c r="B117" s="4" t="inlineStr">
        <is>
          <t>IngredientLineTest: real ingredients are kept</t>
        </is>
      </c>
      <c r="C117" s="24" t="inlineStr">
        <is>
          <t>Pass</t>
        </is>
      </c>
    </row>
    <row r="118">
      <c r="A118" s="17" t="inlineStr">
        <is>
          <t>U-117</t>
        </is>
      </c>
      <c r="B118" s="4" t="inlineStr">
        <is>
          <t>IngredientLineTest: section headers are dropped</t>
        </is>
      </c>
      <c r="C118" s="24" t="inlineStr">
        <is>
          <t>Pass</t>
        </is>
      </c>
    </row>
    <row r="119">
      <c r="A119" s="17" t="inlineStr">
        <is>
          <t>U-118</t>
        </is>
      </c>
      <c r="B119" s="4" t="inlineStr">
        <is>
          <t>IngredientLineTest: sheet order is preserved</t>
        </is>
      </c>
      <c r="C119" s="24" t="inlineStr">
        <is>
          <t>Pass</t>
        </is>
      </c>
    </row>
    <row r="120">
      <c r="A120" s="17" t="inlineStr">
        <is>
          <t>U-119</t>
        </is>
      </c>
      <c r="B120" s="4" t="inlineStr">
        <is>
          <t>IngredientLineTest: stray values and blanks are dropped</t>
        </is>
      </c>
      <c r="C120" s="24" t="inlineStr">
        <is>
          <t>Pass</t>
        </is>
      </c>
    </row>
    <row r="121">
      <c r="A121" s="17" t="inlineStr">
        <is>
          <t>U-120</t>
        </is>
      </c>
      <c r="B121" s="4" t="inlineStr">
        <is>
          <t>IslandRulesTest: an island pays only when every dish there is solved</t>
        </is>
      </c>
      <c r="C121" s="24" t="inlineStr">
        <is>
          <t>Pass</t>
        </is>
      </c>
    </row>
    <row r="122">
      <c r="A122" s="17" t="inlineStr">
        <is>
          <t>U-121</t>
        </is>
      </c>
      <c r="B122" s="4" t="inlineStr">
        <is>
          <t>KusinaShopTest: learning content stays cheap and cosmetics are the premium tier</t>
        </is>
      </c>
      <c r="C122" s="24" t="inlineStr">
        <is>
          <t>Pass</t>
        </is>
      </c>
    </row>
    <row r="123">
      <c r="A123" s="17" t="inlineStr">
        <is>
          <t>U-122</t>
        </is>
      </c>
      <c r="B123" s="4" t="inlineStr">
        <is>
          <t>LeaderboardRulesTest: an empty board ranks to nothing rather than failing</t>
        </is>
      </c>
      <c r="C123" s="24" t="inlineStr">
        <is>
          <t>Pass</t>
        </is>
      </c>
    </row>
    <row r="124">
      <c r="A124" s="17" t="inlineStr">
        <is>
          <t>U-123</t>
        </is>
      </c>
      <c r="B124" s="4" t="inlineStr">
        <is>
          <t>LeaderboardRulesTest: dishes solved break a points tie</t>
        </is>
      </c>
      <c r="C124" s="24" t="inlineStr">
        <is>
          <t>Pass</t>
        </is>
      </c>
    </row>
    <row r="125">
      <c r="A125" s="17" t="inlineStr">
        <is>
          <t>U-124</t>
        </is>
      </c>
      <c r="B125" s="4" t="inlineStr">
        <is>
          <t>LeaderboardRulesTest: earning points moves a player up the board</t>
        </is>
      </c>
      <c r="C125" s="24" t="inlineStr">
        <is>
          <t>Pass</t>
        </is>
      </c>
    </row>
    <row r="126">
      <c r="A126" s="17" t="inlineStr">
        <is>
          <t>U-125</t>
        </is>
      </c>
      <c r="B126" s="4" t="inlineStr">
        <is>
          <t>LeaderboardRulesTest: name breaks a full tie so the order never shuffles</t>
        </is>
      </c>
      <c r="C126" s="24" t="inlineStr">
        <is>
          <t>Pass</t>
        </is>
      </c>
    </row>
    <row r="127">
      <c r="A127" s="17" t="inlineStr">
        <is>
          <t>U-126</t>
        </is>
      </c>
      <c r="B127" s="4" t="inlineStr">
        <is>
          <t>LeaderboardRulesTest: players are ordered by points, highest first</t>
        </is>
      </c>
      <c r="C127" s="24" t="inlineStr">
        <is>
          <t>Pass</t>
        </is>
      </c>
    </row>
    <row r="128">
      <c r="A128" s="17" t="inlineStr">
        <is>
          <t>U-127</t>
        </is>
      </c>
      <c r="B128" s="4" t="inlineStr">
        <is>
          <t>LeaderboardRulesTest: players yet to score still appear, at the bottom</t>
        </is>
      </c>
      <c r="C128" s="24" t="inlineStr">
        <is>
          <t>Pass</t>
        </is>
      </c>
    </row>
    <row r="129">
      <c r="A129" s="17" t="inlineStr">
        <is>
          <t>U-128</t>
        </is>
      </c>
      <c r="B129" s="4" t="inlineStr">
        <is>
          <t>LeaderboardRulesTest: position lookup ignores case and reports absence</t>
        </is>
      </c>
      <c r="C129" s="24" t="inlineStr">
        <is>
          <t>Pass</t>
        </is>
      </c>
    </row>
    <row r="130">
      <c r="A130" s="17" t="inlineStr">
        <is>
          <t>U-129</t>
        </is>
      </c>
      <c r="B130" s="4" t="inlineStr">
        <is>
          <t>LeaderboardViewModelTest: playerOutsideTopTen_keepsTheirOwnRank</t>
        </is>
      </c>
      <c r="C130" s="24" t="inlineStr">
        <is>
          <t>Pass</t>
        </is>
      </c>
    </row>
    <row r="131">
      <c r="A131" s="17" t="inlineStr">
        <is>
          <t>U-130</t>
        </is>
      </c>
      <c r="B131" s="4" t="inlineStr">
        <is>
          <t>LeaderboardViewModelTest: signedOut_hasNoStanding</t>
        </is>
      </c>
      <c r="C131" s="24" t="inlineStr">
        <is>
          <t>Pass</t>
        </is>
      </c>
    </row>
    <row r="132">
      <c r="A132" s="17" t="inlineStr">
        <is>
          <t>U-131</t>
        </is>
      </c>
      <c r="B132" s="4" t="inlineStr">
        <is>
          <t>LeaderboardViewModelTest: switchingBoards_dropsTheOldStanding</t>
        </is>
      </c>
      <c r="C132" s="24" t="inlineStr">
        <is>
          <t>Pass</t>
        </is>
      </c>
    </row>
    <row r="133">
      <c r="A133" s="17" t="inlineStr">
        <is>
          <t>U-132</t>
        </is>
      </c>
      <c r="B133" s="4" t="inlineStr">
        <is>
          <t>LevelOrderPinsTest: Kinilaw added with no pin goes by its length</t>
        </is>
      </c>
      <c r="C133" s="24" t="inlineStr">
        <is>
          <t>Pass</t>
        </is>
      </c>
    </row>
    <row r="134">
      <c r="A134" s="17" t="inlineStr">
        <is>
          <t>U-133</t>
        </is>
      </c>
      <c r="B134" s="4" t="inlineStr">
        <is>
          <t>LevelOrderPinsTest: Kinilaw pinned to 2 takes Level 2</t>
        </is>
      </c>
      <c r="C134" s="24" t="inlineStr">
        <is>
          <t>Pass</t>
        </is>
      </c>
    </row>
    <row r="135">
      <c r="A135" s="17" t="inlineStr">
        <is>
          <t>U-134</t>
        </is>
      </c>
      <c r="B135" s="4" t="inlineStr">
        <is>
          <t>LevelOrderPinsTest: Luzon with Sisig pinned to 2</t>
        </is>
      </c>
      <c r="C135" s="24" t="inlineStr">
        <is>
          <t>Pass</t>
        </is>
      </c>
    </row>
    <row r="136">
      <c r="A136" s="17" t="inlineStr">
        <is>
          <t>U-135</t>
        </is>
      </c>
      <c r="B136" s="4" t="inlineStr">
        <is>
          <t>LevelOrderPinsTest: Mindanao today, no pins</t>
        </is>
      </c>
      <c r="C136" s="24" t="inlineStr">
        <is>
          <t>Pass</t>
        </is>
      </c>
    </row>
    <row r="137">
      <c r="A137" s="17" t="inlineStr">
        <is>
          <t>U-136</t>
        </is>
      </c>
      <c r="B137" s="4" t="inlineStr">
        <is>
          <t>LevelOrderPinsTest: Satti pinned to 6 and Tiyula to 1</t>
        </is>
      </c>
      <c r="C137" s="24" t="inlineStr">
        <is>
          <t>Pass</t>
        </is>
      </c>
    </row>
    <row r="138">
      <c r="A138" s="17" t="inlineStr">
        <is>
          <t>U-137</t>
        </is>
      </c>
      <c r="B138" s="4" t="inlineStr">
        <is>
          <t>LevelOrderPinsTest: a pin only reads as a whole number of 1 or more</t>
        </is>
      </c>
      <c r="C138" s="24" t="inlineStr">
        <is>
          <t>Pass</t>
        </is>
      </c>
    </row>
    <row r="139">
      <c r="A139" s="17" t="inlineStr">
        <is>
          <t>U-138</t>
        </is>
      </c>
      <c r="B139" s="4" t="inlineStr">
        <is>
          <t>LevelOrderPinsTest: a pin past the end counts as the last slot</t>
        </is>
      </c>
      <c r="C139" s="24" t="inlineStr">
        <is>
          <t>Pass</t>
        </is>
      </c>
    </row>
    <row r="140">
      <c r="A140" s="17" t="inlineStr">
        <is>
          <t>U-139</t>
        </is>
      </c>
      <c r="B140" s="4" t="inlineStr">
        <is>
          <t>LevelOrderPinsTest: the Game Map's next level follows a pin</t>
        </is>
      </c>
      <c r="C140" s="24" t="inlineStr">
        <is>
          <t>Pass</t>
        </is>
      </c>
    </row>
    <row r="141">
      <c r="A141" s="17" t="inlineStr">
        <is>
          <t>U-140</t>
        </is>
      </c>
      <c r="B141" s="4" t="inlineStr">
        <is>
          <t>LevelOrderPinsTest: two pins on one slot, the lower id keeps it</t>
        </is>
      </c>
      <c r="C141" s="24" t="inlineStr">
        <is>
          <t>Pass</t>
        </is>
      </c>
    </row>
    <row r="142">
      <c r="A142" s="17" t="inlineStr">
        <is>
          <t>U-141</t>
        </is>
      </c>
      <c r="B142" s="4" t="inlineStr">
        <is>
          <t>LevelOrderPinsTest: two pins on the last slot, the second takes the nearest free one before it</t>
        </is>
      </c>
      <c r="C142" s="24" t="inlineStr">
        <is>
          <t>Pass</t>
        </is>
      </c>
    </row>
    <row r="143">
      <c r="A143" s="17" t="inlineStr">
        <is>
          <t>U-142</t>
        </is>
      </c>
      <c r="B143" s="4" t="inlineStr">
        <is>
          <t>PalayokGrantRulesTest: a win pays one palayok</t>
        </is>
      </c>
      <c r="C143" s="24" t="inlineStr">
        <is>
          <t>Pass</t>
        </is>
      </c>
    </row>
    <row r="144">
      <c r="A144" s="17" t="inlineStr">
        <is>
          <t>U-143</t>
        </is>
      </c>
      <c r="B144" s="4" t="inlineStr">
        <is>
          <t>PalayokGrantRulesTest: nothing is held back for the pantry shelf</t>
        </is>
      </c>
      <c r="C144" s="24" t="inlineStr">
        <is>
          <t>Pass</t>
        </is>
      </c>
    </row>
    <row r="145">
      <c r="A145" s="17" t="inlineStr">
        <is>
          <t>U-144</t>
        </is>
      </c>
      <c r="B145" s="4" t="inlineStr">
        <is>
          <t>PantryIngredientArtTest: an unknown id returns null rather than throwing</t>
        </is>
      </c>
      <c r="C145" s="24" t="inlineStr">
        <is>
          <t>Pass</t>
        </is>
      </c>
    </row>
    <row r="146">
      <c r="A146" s="17" t="inlineStr">
        <is>
          <t>U-145</t>
        </is>
      </c>
      <c r="B146" s="4" t="inlineStr">
        <is>
          <t>PantryIngredientArtTest: coverage is real, not an empty catalog</t>
        </is>
      </c>
      <c r="C146" s="24" t="inlineStr">
        <is>
          <t>Pass</t>
        </is>
      </c>
    </row>
    <row r="147">
      <c r="A147" s="17" t="inlineStr">
        <is>
          <t>U-146</t>
        </is>
      </c>
      <c r="B147" s="4" t="inlineStr">
        <is>
          <t>PantryIngredientArtTest: every catalog ingredient has a photo</t>
        </is>
      </c>
      <c r="C147" s="24" t="inlineStr">
        <is>
          <t>Pass</t>
        </is>
      </c>
    </row>
    <row r="148">
      <c r="A148" s="17" t="inlineStr">
        <is>
          <t>U-147</t>
        </is>
      </c>
      <c r="B148" s="4" t="inlineStr">
        <is>
          <t>PowerUpRulesTest: a nearly exhausted keyboard bombs nothing rather than misbehaving</t>
        </is>
      </c>
      <c r="C148" s="24" t="inlineStr">
        <is>
          <t>Pass</t>
        </is>
      </c>
    </row>
    <row r="149">
      <c r="A149" s="17" t="inlineStr">
        <is>
          <t>U-148</t>
        </is>
      </c>
      <c r="B149" s="4" t="inlineStr">
        <is>
          <t>PowerUpRulesTest: a second hint waits one minute</t>
        </is>
      </c>
      <c r="C149" s="24" t="inlineStr">
        <is>
          <t>Pass</t>
        </is>
      </c>
    </row>
    <row r="150">
      <c r="A150" s="17" t="inlineStr">
        <is>
          <t>U-149</t>
        </is>
      </c>
      <c r="B150" s="4" t="inlineStr">
        <is>
          <t>PowerUpRulesTest: bomb leaves the agreed number of decoys standing</t>
        </is>
      </c>
      <c r="C150" s="24" t="inlineStr">
        <is>
          <t>Pass</t>
        </is>
      </c>
    </row>
    <row r="151">
      <c r="A151" s="17" t="inlineStr">
        <is>
          <t>U-150</t>
        </is>
      </c>
      <c r="B151" s="4" t="inlineStr">
        <is>
          <t>PowerUpRulesTest: bomb never clears a letter that is in the answer</t>
        </is>
      </c>
      <c r="C151" s="24" t="inlineStr">
        <is>
          <t>Pass</t>
        </is>
      </c>
    </row>
    <row r="152">
      <c r="A152" s="17" t="inlineStr">
        <is>
          <t>U-151</t>
        </is>
      </c>
      <c r="B152" s="4" t="inlineStr">
        <is>
          <t>PowerUpRulesTest: letters already ruled out are not counted again</t>
        </is>
      </c>
      <c r="C152" s="24" t="inlineStr">
        <is>
          <t>Pass</t>
        </is>
      </c>
    </row>
    <row r="153">
      <c r="A153" s="17" t="inlineStr">
        <is>
          <t>U-152</t>
        </is>
      </c>
      <c r="B153" s="4" t="inlineStr">
        <is>
          <t>PowerUpRulesTest: reveal and bomb are KK-priced, never XP</t>
        </is>
      </c>
      <c r="C153" s="24" t="inlineStr">
        <is>
          <t>Pass</t>
        </is>
      </c>
    </row>
    <row r="154">
      <c r="A154" s="17" t="inlineStr">
        <is>
          <t>U-153</t>
        </is>
      </c>
      <c r="B154" s="4" t="inlineStr">
        <is>
          <t>ProgressRulesTest: a loss resets the streak but keeps points and best streak</t>
        </is>
      </c>
      <c r="C154" s="24" t="inlineStr">
        <is>
          <t>Pass</t>
        </is>
      </c>
    </row>
    <row r="155">
      <c r="A155" s="17" t="inlineStr">
        <is>
          <t>U-154</t>
        </is>
      </c>
      <c r="B155" s="4" t="inlineStr">
        <is>
          <t>ProgressRulesTest: a win adds points and advances every counter</t>
        </is>
      </c>
      <c r="C155" s="24" t="inlineStr">
        <is>
          <t>Pass</t>
        </is>
      </c>
    </row>
    <row r="156">
      <c r="A156" s="17" t="inlineStr">
        <is>
          <t>U-155</t>
        </is>
      </c>
      <c r="B156" s="4" t="inlineStr">
        <is>
          <t>ProgressRulesTest: best streak survives a later break</t>
        </is>
      </c>
      <c r="C156" s="24" t="inlineStr">
        <is>
          <t>Pass</t>
        </is>
      </c>
    </row>
    <row r="157">
      <c r="A157" s="17" t="inlineStr">
        <is>
          <t>U-156</t>
        </is>
      </c>
      <c r="B157" s="4" t="inlineStr">
        <is>
          <t>ProgressRulesTest: perfect rounds are counted separately</t>
        </is>
      </c>
      <c r="C157" s="24" t="inlineStr">
        <is>
          <t>Pass</t>
        </is>
      </c>
    </row>
    <row r="158">
      <c r="A158" s="17" t="inlineStr">
        <is>
          <t>U-157</t>
        </is>
      </c>
      <c r="B158" s="4" t="inlineStr">
        <is>
          <t>ProgressRulesTest: points accumulate across separate rounds</t>
        </is>
      </c>
      <c r="C158" s="24" t="inlineStr">
        <is>
          <t>Pass</t>
        </is>
      </c>
    </row>
    <row r="159">
      <c r="A159" s="17" t="inlineStr">
        <is>
          <t>U-158</t>
        </is>
      </c>
      <c r="B159" s="4" t="inlineStr">
        <is>
          <t>ProgressRulesTest: replaying a solved dish scores nothing</t>
        </is>
      </c>
      <c r="C159" s="24" t="inlineStr">
        <is>
          <t>Pass</t>
        </is>
      </c>
    </row>
    <row r="160">
      <c r="A160" s="17" t="inlineStr">
        <is>
          <t>U-159</t>
        </is>
      </c>
      <c r="B160" s="4" t="inlineStr">
        <is>
          <t>ReelCatalogTest: a reel the admin adds appears on the shelf</t>
        </is>
      </c>
      <c r="C160" s="24" t="inlineStr">
        <is>
          <t>Pass</t>
        </is>
      </c>
    </row>
    <row r="161">
      <c r="A161" s="17" t="inlineStr">
        <is>
          <t>U-160</t>
        </is>
      </c>
      <c r="B161" s="4" t="inlineStr">
        <is>
          <t>ReelCatalogTest: a reel the admin withdraws leaves the shelf but still resolves</t>
        </is>
      </c>
      <c r="C161" s="24" t="inlineStr">
        <is>
          <t>Pass</t>
        </is>
      </c>
    </row>
    <row r="162">
      <c r="A162" s="17" t="inlineStr">
        <is>
          <t>U-161</t>
        </is>
      </c>
      <c r="B162" s="4" t="inlineStr">
        <is>
          <t>ReelCatalogTest: an empty response falls back to the seeds</t>
        </is>
      </c>
      <c r="C162" s="24" t="inlineStr">
        <is>
          <t>Pass</t>
        </is>
      </c>
    </row>
    <row r="163">
      <c r="A163" s="17" t="inlineStr">
        <is>
          <t>U-162</t>
        </is>
      </c>
      <c r="B163" s="4" t="inlineStr">
        <is>
          <t>ReelCatalogTest: an id the server never mentions keeps answering</t>
        </is>
      </c>
      <c r="C163" s="24" t="inlineStr">
        <is>
          <t>Pass</t>
        </is>
      </c>
    </row>
    <row r="164">
      <c r="A164" s="17" t="inlineStr">
        <is>
          <t>U-163</t>
        </is>
      </c>
      <c r="B164" s="4" t="inlineStr">
        <is>
          <t>ReelCatalogTest: every seeded reel has a price</t>
        </is>
      </c>
      <c r="C164" s="24" t="inlineStr">
        <is>
          <t>Pass</t>
        </is>
      </c>
    </row>
    <row r="165">
      <c r="A165" s="17" t="inlineStr">
        <is>
          <t>U-164</t>
        </is>
      </c>
      <c r="B165" s="4" t="inlineStr">
        <is>
          <t>ReelCatalogTest: ids stay unique after a merge</t>
        </is>
      </c>
      <c r="C165" s="24" t="inlineStr">
        <is>
          <t>Pass</t>
        </is>
      </c>
    </row>
    <row r="166">
      <c r="A166" s="17" t="inlineStr">
        <is>
          <t>U-165</t>
        </is>
      </c>
      <c r="B166" s="4" t="inlineStr">
        <is>
          <t>ReelCatalogTest: no overlay leaves the seeded shelf exactly as it was</t>
        </is>
      </c>
      <c r="C166" s="24" t="inlineStr">
        <is>
          <t>Pass</t>
        </is>
      </c>
    </row>
    <row r="167">
      <c r="A167" s="17" t="inlineStr">
        <is>
          <t>U-166</t>
        </is>
      </c>
      <c r="B167" s="4" t="inlineStr">
        <is>
          <t>ReelCatalogTest: non-reel items are untouched by the overlay</t>
        </is>
      </c>
      <c r="C167" s="24" t="inlineStr">
        <is>
          <t>Pass</t>
        </is>
      </c>
    </row>
    <row r="168">
      <c r="A168" s="17" t="inlineStr">
        <is>
          <t>U-167</t>
        </is>
      </c>
      <c r="B168" s="4" t="inlineStr">
        <is>
          <t>ReelCatalogTest: retired reels stay off the shelf but keep resolving</t>
        </is>
      </c>
      <c r="C168" s="24" t="inlineStr">
        <is>
          <t>Pass</t>
        </is>
      </c>
    </row>
    <row r="169">
      <c r="A169" s="17" t="inlineStr">
        <is>
          <t>U-168</t>
        </is>
      </c>
      <c r="B169" s="4" t="inlineStr">
        <is>
          <t>ReelCatalogTest: seed order survives a fetch</t>
        </is>
      </c>
      <c r="C169" s="24" t="inlineStr">
        <is>
          <t>Pass</t>
        </is>
      </c>
    </row>
    <row r="170">
      <c r="A170" s="17" t="inlineStr">
        <is>
          <t>U-169</t>
        </is>
      </c>
      <c r="B170" s="4" t="inlineStr">
        <is>
          <t>ReelCatalogTest: server wording and price win over the seed</t>
        </is>
      </c>
      <c r="C170" s="24" t="inlineStr">
        <is>
          <t>Pass</t>
        </is>
      </c>
    </row>
    <row r="171">
      <c r="A171" s="17" t="inlineStr">
        <is>
          <t>U-170</t>
        </is>
      </c>
      <c r="B171" s="4" t="inlineStr">
        <is>
          <t>ReportDetailsTest: a real sentence is accepted</t>
        </is>
      </c>
      <c r="C171" s="24" t="inlineStr">
        <is>
          <t>Pass</t>
        </is>
      </c>
    </row>
    <row r="172">
      <c r="A172" s="17" t="inlineStr">
        <is>
          <t>U-171</t>
        </is>
      </c>
      <c r="B172" s="4" t="inlineStr">
        <is>
          <t>ReportDetailsTest: aaa is rejected as not a real description</t>
        </is>
      </c>
      <c r="C172" s="24" t="inlineStr">
        <is>
          <t>Pass</t>
        </is>
      </c>
    </row>
    <row r="173">
      <c r="A173" s="17" t="inlineStr">
        <is>
          <t>U-172</t>
        </is>
      </c>
      <c r="B173" s="4" t="inlineStr">
        <is>
          <t>ReportDetailsTest: blank is rejected</t>
        </is>
      </c>
      <c r="C173" s="24" t="inlineStr">
        <is>
          <t>Pass</t>
        </is>
      </c>
    </row>
    <row r="174">
      <c r="A174" s="17" t="inlineStr">
        <is>
          <t>U-173</t>
        </is>
      </c>
      <c r="B174" s="4" t="inlineStr">
        <is>
          <t>ScoreRulesTest: first-guess solve earns the perfect bonus</t>
        </is>
      </c>
      <c r="C174" s="24" t="inlineStr">
        <is>
          <t>Pass</t>
        </is>
      </c>
    </row>
    <row r="175">
      <c r="A175" s="17" t="inlineStr">
        <is>
          <t>U-174</t>
        </is>
      </c>
      <c r="B175" s="4" t="inlineStr">
        <is>
          <t>ScoreRulesTest: identical rounds always score identically</t>
        </is>
      </c>
      <c r="C175" s="24" t="inlineStr">
        <is>
          <t>Pass</t>
        </is>
      </c>
    </row>
    <row r="176">
      <c r="A176" s="17" t="inlineStr">
        <is>
          <t>U-175</t>
        </is>
      </c>
      <c r="B176" s="4" t="inlineStr">
        <is>
          <t>ScoreRulesTest: overrunning the allowance never subtracts points</t>
        </is>
      </c>
      <c r="C176" s="24" t="inlineStr">
        <is>
          <t>Pass</t>
        </is>
      </c>
    </row>
    <row r="177">
      <c r="A177" s="17" t="inlineStr">
        <is>
          <t>U-176</t>
        </is>
      </c>
      <c r="B177" s="4" t="inlineStr">
        <is>
          <t>ScoreRulesTest: solving on the last attempt still scores the base award</t>
        </is>
      </c>
      <c r="C177" s="24" t="inlineStr">
        <is>
          <t>Pass</t>
        </is>
      </c>
    </row>
    <row r="178">
      <c r="A178" s="17" t="inlineStr">
        <is>
          <t>U-177</t>
        </is>
      </c>
      <c r="B178" s="4" t="inlineStr">
        <is>
          <t>ScoreRulesTest: speed bonus follows its tiers</t>
        </is>
      </c>
      <c r="C178" s="24" t="inlineStr">
        <is>
          <t>Pass</t>
        </is>
      </c>
    </row>
    <row r="179">
      <c r="A179" s="17" t="inlineStr">
        <is>
          <t>U-178</t>
        </is>
      </c>
      <c r="B179" s="4" t="inlineStr">
        <is>
          <t>ScoreRulesTest: tier boundaries are exclusive at the upper edge</t>
        </is>
      </c>
      <c r="C179" s="24" t="inlineStr">
        <is>
          <t>Pass</t>
        </is>
      </c>
    </row>
    <row r="180">
      <c r="A180" s="17" t="inlineStr">
        <is>
          <t>U-179</t>
        </is>
      </c>
      <c r="B180" s="4" t="inlineStr">
        <is>
          <t>ScoreRulesTest: unused attempts add efficiency points</t>
        </is>
      </c>
      <c r="C180" s="24" t="inlineStr">
        <is>
          <t>Pass</t>
        </is>
      </c>
    </row>
    <row r="181">
      <c r="A181" s="17" t="inlineStr">
        <is>
          <t>U-180</t>
        </is>
      </c>
      <c r="B181" s="4" t="inlineStr">
        <is>
          <t>SellAskTest: a chosen count sells only that many</t>
        </is>
      </c>
      <c r="C181" s="24" t="inlineStr">
        <is>
          <t>Pass</t>
        </is>
      </c>
    </row>
    <row r="182">
      <c r="A182" s="17" t="inlineStr">
        <is>
          <t>U-181</t>
        </is>
      </c>
      <c r="B182" s="4" t="inlineStr">
        <is>
          <t>SellAskTest: a single copy still sells one</t>
        </is>
      </c>
      <c r="C182" s="24" t="inlineStr">
        <is>
          <t>Pass</t>
        </is>
      </c>
    </row>
    <row r="183">
      <c r="A183" s="17" t="inlineStr">
        <is>
          <t>U-182</t>
        </is>
      </c>
      <c r="B183" s="4" t="inlineStr">
        <is>
          <t>SellAskTest: the count cannot pass the stack or drop below one</t>
        </is>
      </c>
      <c r="C183" s="24" t="inlineStr">
        <is>
          <t>Pass</t>
        </is>
      </c>
    </row>
    <row r="184">
      <c r="A184" s="17" t="inlineStr">
        <is>
          <t>U-183</t>
        </is>
      </c>
      <c r="B184" s="4" t="inlineStr">
        <is>
          <t>WaitingForYouCountTest: claimed daily with a leftover spin is one waiting row</t>
        </is>
      </c>
      <c r="C184" s="24" t="inlineStr">
        <is>
          <t>Pass</t>
        </is>
      </c>
    </row>
    <row r="185">
      <c r="A185" s="17" t="inlineStr">
        <is>
          <t>U-184</t>
        </is>
      </c>
      <c r="B185" s="4" t="inlineStr">
        <is>
          <t>WaitingForYouCountTest: history names a palayok spin without using the server key</t>
        </is>
      </c>
      <c r="C185" s="24" t="inlineStr">
        <is>
          <t>Pass</t>
        </is>
      </c>
    </row>
    <row r="186">
      <c r="A186" s="17" t="inlineStr">
        <is>
          <t>U-185</t>
        </is>
      </c>
      <c r="B186" s="4" t="inlineStr">
        <is>
          <t>WaitingForYouCountTest: nothing waiting is zero</t>
        </is>
      </c>
      <c r="C186" s="24" t="inlineStr">
        <is>
          <t>Pass</t>
        </is>
      </c>
    </row>
    <row r="187">
      <c r="A187" s="17" t="inlineStr">
        <is>
          <t>U-186</t>
        </is>
      </c>
      <c r="B187" s="4" t="inlineStr">
        <is>
          <t>WaitingForYouCountTest: spin title carries the palayoks won</t>
        </is>
      </c>
      <c r="C187" s="24" t="inlineStr">
        <is>
          <t>Pass</t>
        </is>
      </c>
    </row>
    <row r="188">
      <c r="A188" s="17" t="inlineStr">
        <is>
          <t>U-187</t>
        </is>
      </c>
      <c r="B188" s="4" t="inlineStr">
        <is>
          <t>WaitingForYouCountTest: unclaimed daily is two rows even if a spin is already banked</t>
        </is>
      </c>
      <c r="C188" s="24" t="inlineStr">
        <is>
          <t>Pass</t>
        </is>
      </c>
    </row>
    <row r="189">
      <c r="A189" s="17" t="inlineStr">
        <is>
          <t>U-188</t>
        </is>
      </c>
      <c r="B189" s="4" t="inlineStr">
        <is>
          <t>WaitingForYouCountTest: unopened palayoks are one waiting row however many there are</t>
        </is>
      </c>
      <c r="C189" s="24" t="inlineStr">
        <is>
          <t>Pass</t>
        </is>
      </c>
    </row>
    <row r="190">
      <c r="A190" s="17" t="inlineStr">
        <is>
          <t>U-189</t>
        </is>
      </c>
      <c r="B190" s="4" t="inlineStr">
        <is>
          <t>WordleEngineTest: all letters correct when guess equals answer, case-insensitive</t>
        </is>
      </c>
      <c r="C190" s="24" t="inlineStr">
        <is>
          <t>Pass</t>
        </is>
      </c>
    </row>
    <row r="191">
      <c r="A191" s="17" t="inlineStr">
        <is>
          <t>U-190</t>
        </is>
      </c>
      <c r="B191" s="4" t="inlineStr">
        <is>
          <t>WordleEngineTest: complete alphabetic guess is valid at 5, 6 and 8 letters</t>
        </is>
      </c>
      <c r="C191" s="24" t="inlineStr">
        <is>
          <t>Pass</t>
        </is>
      </c>
    </row>
    <row r="192">
      <c r="A192" s="17" t="inlineStr">
        <is>
          <t>U-191</t>
        </is>
      </c>
      <c r="B192" s="4" t="inlineStr">
        <is>
          <t>WordleEngineTest: evaluate rejects mismatched guess length</t>
        </is>
      </c>
      <c r="C192" s="24" t="inlineStr">
        <is>
          <t>Pass</t>
        </is>
      </c>
    </row>
    <row r="193">
      <c r="A193" s="17" t="inlineStr">
        <is>
          <t>U-192</t>
        </is>
      </c>
      <c r="B193" s="4" t="inlineStr">
        <is>
          <t>WordleEngineTest: evaluate works for 8-letter words</t>
        </is>
      </c>
      <c r="C193" s="24" t="inlineStr">
        <is>
          <t>Pass</t>
        </is>
      </c>
    </row>
    <row r="194">
      <c r="A194" s="17" t="inlineStr">
        <is>
          <t>U-193</t>
        </is>
      </c>
      <c r="B194" s="4" t="inlineStr">
        <is>
          <t>WordleEngineTest: every word length gets six attempts</t>
        </is>
      </c>
      <c r="C194" s="24" t="inlineStr">
        <is>
          <t>Pass</t>
        </is>
      </c>
    </row>
    <row r="195">
      <c r="A195" s="17" t="inlineStr">
        <is>
          <t>U-194</t>
        </is>
      </c>
      <c r="B195" s="4" t="inlineStr">
        <is>
          <t>WordleEngineTest: incomplete guess is rejected for any word length</t>
        </is>
      </c>
      <c r="C195" s="24" t="inlineStr">
        <is>
          <t>Pass</t>
        </is>
      </c>
    </row>
    <row r="196">
      <c r="A196" s="17" t="inlineStr">
        <is>
          <t>U-195</t>
        </is>
      </c>
      <c r="B196" s="4" t="inlineStr">
        <is>
          <t>WordleEngineTest: misplaced repeated letters consume answer occurrences left to right</t>
        </is>
      </c>
      <c r="C196" s="24" t="inlineStr">
        <is>
          <t>Pass</t>
        </is>
      </c>
    </row>
    <row r="197">
      <c r="A197" s="17" t="inlineStr">
        <is>
          <t>U-196</t>
        </is>
      </c>
      <c r="B197" s="4" t="inlineStr">
        <is>
          <t>WordleEngineTest: mixed verdict classifies correct, misplaced and absent letters</t>
        </is>
      </c>
      <c r="C197" s="24" t="inlineStr">
        <is>
          <t>Pass</t>
        </is>
      </c>
    </row>
    <row r="198">
      <c r="A198" s="17" t="inlineStr">
        <is>
          <t>U-197</t>
        </is>
      </c>
      <c r="B198" s="4" t="inlineStr">
        <is>
          <t>WordleEngineTest: non-letter characters are rejected</t>
        </is>
      </c>
      <c r="C198" s="24" t="inlineStr">
        <is>
          <t>Pass</t>
        </is>
      </c>
    </row>
    <row r="199">
      <c r="A199" s="17" t="inlineStr">
        <is>
          <t>U-198</t>
        </is>
      </c>
      <c r="B199" s="4" t="inlineStr">
        <is>
          <t>WordleEngineTest: repeated guess letter is not flagged more times than it appears in answer</t>
        </is>
      </c>
      <c r="C199" s="2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2026-10-16T01:57:01Z</dcterms:created>
  <dcterms:modified xmlns:dcterms="http://purl.org/dc/terms/" xmlns:xsi="http://www.w3.org/2001/XMLSchema-instance" xsi:type="dcterms:W3CDTF">2026-10-16T01:57:01Z</dcterms:modified>
</cp:coreProperties>
</file>