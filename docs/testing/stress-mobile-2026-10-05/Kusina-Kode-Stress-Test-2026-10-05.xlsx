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artup" sheetId="2" state="visible" r:id="rId2"/>
    <sheet xmlns:r="http://schemas.openxmlformats.org/officeDocument/2006/relationships" name="Real phone" sheetId="3" state="visible" r:id="rId3"/>
    <sheet xmlns:r="http://schemas.openxmlformats.org/officeDocument/2006/relationships" name="Phone vs emulator" sheetId="4" state="visible" r:id="rId4"/>
    <sheet xmlns:r="http://schemas.openxmlformats.org/officeDocument/2006/relationships" name="Per screen" sheetId="5" state="visible" r:id="rId5"/>
    <sheet xmlns:r="http://schemas.openxmlformats.org/officeDocument/2006/relationships" name="Sustained" sheetId="6" state="visible" r:id="rId6"/>
    <sheet xmlns:r="http://schemas.openxmlformats.org/officeDocument/2006/relationships" name="Startup freezes" sheetId="7" state="visible" r:id="rId7"/>
    <sheet xmlns:r="http://schemas.openxmlformats.org/officeDocument/2006/relationships" name="Server load" sheetId="8" state="visible" r:id="rId8"/>
    <sheet xmlns:r="http://schemas.openxmlformats.org/officeDocument/2006/relationships" name="Azure metrics" sheetId="9" state="visible" r:id="rId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12">
    <font>
      <name val="Calibri"/>
      <family val="2"/>
      <color theme="1"/>
      <sz val="11"/>
      <scheme val="minor"/>
    </font>
    <font>
      <name val="Arial"/>
      <b val="1"/>
      <color rgb="006F3913"/>
      <sz val="15"/>
    </font>
    <font>
      <name val="Arial"/>
      <i val="1"/>
      <color rgb="00555555"/>
      <sz val="10"/>
    </font>
    <font>
      <name val="Arial"/>
      <b val="1"/>
      <sz val="10"/>
    </font>
    <font>
      <name val="Arial"/>
      <sz val="10"/>
    </font>
    <font>
      <name val="Arial"/>
      <b val="1"/>
      <color rgb="006F3913"/>
      <sz val="11"/>
    </font>
    <font>
      <name val="Arial"/>
      <color rgb="00000000"/>
      <sz val="10"/>
    </font>
    <font>
      <name val="Arial"/>
      <b val="1"/>
      <color rgb="00FFFFFF"/>
    </font>
    <font>
      <name val="Arial"/>
      <color rgb="000000FF"/>
      <sz val="10"/>
    </font>
    <font>
      <name val="Arial"/>
      <b val="1"/>
      <color rgb="00000000"/>
      <sz val="10"/>
    </font>
    <font>
      <name val="Arial"/>
      <i val="1"/>
      <sz val="10"/>
    </font>
    <font>
      <name val="Arial"/>
      <b val="1"/>
      <color rgb="006F3913"/>
      <sz val="10"/>
    </font>
  </fonts>
  <fills count="4">
    <fill>
      <patternFill/>
    </fill>
    <fill>
      <patternFill patternType="gray125"/>
    </fill>
    <fill>
      <patternFill patternType="solid">
        <fgColor rgb="006F3913"/>
      </patternFill>
    </fill>
    <fill>
      <patternFill patternType="solid">
        <fgColor rgb="00FDE2E1"/>
      </patternFill>
    </fill>
  </fills>
  <borders count="2">
    <border>
      <left/>
      <right/>
      <top/>
      <bottom/>
      <diagonal/>
    </border>
    <border>
      <left style="thin">
        <color rgb="00D9C9A8"/>
      </left>
      <right style="thin">
        <color rgb="00D9C9A8"/>
      </right>
      <top style="thin">
        <color rgb="00D9C9A8"/>
      </top>
      <bottom style="thin">
        <color rgb="00D9C9A8"/>
      </bottom>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7" fillId="2" borderId="1" applyAlignment="1" pivotButton="0" quotePrefix="0" xfId="0">
      <alignment vertical="center" wrapText="1"/>
    </xf>
    <xf numFmtId="0" fontId="6" fillId="0" borderId="1" applyAlignment="1" pivotButton="0" quotePrefix="0" xfId="0">
      <alignment vertical="top"/>
    </xf>
    <xf numFmtId="3" fontId="8" fillId="0" borderId="1" applyAlignment="1" pivotButton="0" quotePrefix="0" xfId="0">
      <alignment vertical="top"/>
    </xf>
    <xf numFmtId="0" fontId="9" fillId="0" borderId="1" applyAlignment="1" pivotButton="0" quotePrefix="0" xfId="0">
      <alignment vertical="top"/>
    </xf>
    <xf numFmtId="3" fontId="6" fillId="0" borderId="1" applyAlignment="1" pivotButton="0" quotePrefix="0" xfId="0">
      <alignment vertical="top"/>
    </xf>
    <xf numFmtId="0" fontId="9" fillId="0" borderId="1" applyAlignment="1" pivotButton="0" quotePrefix="0" xfId="0">
      <alignment vertical="top" wrapText="1"/>
    </xf>
    <xf numFmtId="0" fontId="8" fillId="0" borderId="1" applyAlignment="1" pivotButton="0" quotePrefix="0" xfId="0">
      <alignment vertical="top"/>
    </xf>
    <xf numFmtId="0" fontId="10" fillId="0" borderId="0" applyAlignment="1" pivotButton="0" quotePrefix="0" xfId="0">
      <alignment vertical="top" wrapText="1"/>
    </xf>
    <xf numFmtId="164" fontId="6" fillId="0" borderId="1" applyAlignment="1" pivotButton="0" quotePrefix="0" xfId="0">
      <alignment vertical="top"/>
    </xf>
    <xf numFmtId="1" fontId="6" fillId="0" borderId="1" applyAlignment="1" pivotButton="0" quotePrefix="0" xfId="0">
      <alignment vertical="top"/>
    </xf>
    <xf numFmtId="10" fontId="6" fillId="0" borderId="1" applyAlignment="1" pivotButton="0" quotePrefix="0" xfId="0">
      <alignment vertical="top"/>
    </xf>
    <xf numFmtId="0" fontId="6" fillId="0" borderId="1" applyAlignment="1" pivotButton="0" quotePrefix="0" xfId="0">
      <alignment vertical="top" wrapText="1"/>
    </xf>
    <xf numFmtId="165" fontId="6" fillId="0" borderId="1" applyAlignment="1" pivotButton="0" quotePrefix="0" xfId="0">
      <alignment vertical="top"/>
    </xf>
    <xf numFmtId="0" fontId="8" fillId="0" borderId="1" applyAlignment="1" pivotButton="0" quotePrefix="0" xfId="0">
      <alignment vertical="top" wrapText="1"/>
    </xf>
    <xf numFmtId="0" fontId="9" fillId="0" borderId="0" pivotButton="0" quotePrefix="0" xfId="0"/>
    <xf numFmtId="0" fontId="11" fillId="0" borderId="0" pivotButton="0" quotePrefix="0" xfId="0"/>
    <xf numFmtId="164" fontId="6" fillId="0" borderId="0" applyAlignment="1" pivotButton="0" quotePrefix="0" xfId="0">
      <alignment vertical="top" wrapText="1"/>
    </xf>
    <xf numFmtId="166" fontId="6" fillId="0" borderId="0" applyAlignment="1" pivotButton="0" quotePrefix="0" xfId="0">
      <alignment vertical="top" wrapText="1"/>
    </xf>
    <xf numFmtId="1" fontId="6" fillId="0" borderId="0" applyAlignment="1" pivotButton="0" quotePrefix="0" xfId="0">
      <alignment vertical="top" wrapText="1"/>
    </xf>
    <xf numFmtId="0" fontId="4" fillId="0" borderId="0" pivotButton="0" quotePrefix="0" xfId="0"/>
    <xf numFmtId="0" fontId="6" fillId="0" borderId="1" applyAlignment="1" pivotButton="0" quotePrefix="0" xfId="0">
      <alignment vertical="top"/>
    </xf>
    <xf numFmtId="3" fontId="8" fillId="0" borderId="1" applyAlignment="1" pivotButton="0" quotePrefix="0" xfId="0">
      <alignment vertical="top"/>
    </xf>
    <xf numFmtId="0" fontId="9" fillId="0" borderId="1" applyAlignment="1" pivotButton="0" quotePrefix="0" xfId="0">
      <alignment vertical="top"/>
    </xf>
    <xf numFmtId="3" fontId="6" fillId="0" borderId="1" applyAlignment="1" pivotButton="0" quotePrefix="0" xfId="0">
      <alignment vertical="top"/>
    </xf>
    <xf numFmtId="0" fontId="8" fillId="0" borderId="1" applyAlignment="1" pivotButton="0" quotePrefix="0" xfId="0">
      <alignment vertical="top"/>
    </xf>
    <xf numFmtId="164" fontId="6" fillId="0" borderId="1" applyAlignment="1" pivotButton="0" quotePrefix="0" xfId="0">
      <alignment vertical="top"/>
    </xf>
    <xf numFmtId="1" fontId="6" fillId="0" borderId="1" applyAlignment="1" pivotButton="0" quotePrefix="0" xfId="0">
      <alignment vertical="top"/>
    </xf>
    <xf numFmtId="0" fontId="6" fillId="3" borderId="1" applyAlignment="1" pivotButton="0" quotePrefix="0" xfId="0">
      <alignment vertical="top"/>
    </xf>
    <xf numFmtId="0" fontId="8" fillId="3" borderId="1" applyAlignment="1" pivotButton="0" quotePrefix="0" xfId="0">
      <alignment vertical="top"/>
    </xf>
    <xf numFmtId="3" fontId="8" fillId="3" borderId="1" applyAlignment="1" pivotButton="0" quotePrefix="0" xfId="0">
      <alignment vertical="top"/>
    </xf>
    <xf numFmtId="164" fontId="6" fillId="3" borderId="1" applyAlignment="1" pivotButton="0" quotePrefix="0" xfId="0">
      <alignment vertical="top"/>
    </xf>
    <xf numFmtId="1" fontId="6" fillId="3" borderId="1" applyAlignment="1" pivotButton="0" quotePrefix="0" xfId="0">
      <alignment vertical="top"/>
    </xf>
    <xf numFmtId="165" fontId="6" fillId="0" borderId="1" applyAlignment="1" pivotButton="0" quotePrefix="0" xfId="0">
      <alignment vertical="top"/>
    </xf>
    <xf numFmtId="166" fontId="8" fillId="0" borderId="1" applyAlignment="1" pivotButton="0" quotePrefix="0" xfId="0">
      <alignment vertical="top"/>
    </xf>
    <xf numFmtId="1" fontId="8"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34" customWidth="1" min="1" max="1"/>
    <col width="100" customWidth="1" min="2" max="2"/>
  </cols>
  <sheetData>
    <row r="1">
      <c r="A1" s="1" t="inlineStr">
        <is>
          <t>Kusina Kode — Mobile Stress Test</t>
        </is>
      </c>
    </row>
    <row r="2">
      <c r="A2" s="2" t="inlineStr">
        <is>
          <t>Run 5 Oct 2026 on an Android emulator. Blue = measured value, black = formula.</t>
        </is>
      </c>
    </row>
    <row r="3"/>
    <row r="4">
      <c r="A4" s="3" t="inlineStr">
        <is>
          <t>Device</t>
        </is>
      </c>
      <c r="B4" s="4" t="inlineStr">
        <is>
          <t>Android emulator 'Medium Phone', Android 16, 2 GB RAM (debug build); and a real vivo V17 Pro, Android 12, Snapdragon 675, 8 GB RAM (release 1.26)</t>
        </is>
      </c>
    </row>
    <row r="5">
      <c r="A5" s="3" t="inlineStr">
        <is>
          <t>App build</t>
        </is>
      </c>
      <c r="B5" s="4" t="inlineStr">
        <is>
          <t>Kusina Kode 1.25 debug build (slower than the release APK players install)</t>
        </is>
      </c>
    </row>
    <row r="6">
      <c r="A6" s="3" t="inlineStr">
        <is>
          <t>Account</t>
        </is>
      </c>
      <c r="B6" s="4" t="inlineStr">
        <is>
          <t>Test player account (Chef nick), logged in</t>
        </is>
      </c>
    </row>
    <row r="7">
      <c r="A7" s="3" t="inlineStr">
        <is>
          <t>Server impact</t>
        </is>
      </c>
      <c r="B7" s="4" t="inlineStr">
        <is>
          <t>None. Read-only scenario: navigation, scrolling, typing and erasing letters. No guess was submitted; no purchase, spin or sign-up.</t>
        </is>
      </c>
    </row>
    <row r="8">
      <c r="A8" s="3" t="inlineStr">
        <is>
          <t>Tools</t>
        </is>
      </c>
      <c r="B8" s="4" t="inlineStr">
        <is>
          <t>Android dumpsys gfxinfo (frames), dumpsys meminfo (memory), am start -W (startup), dropbox ANR reports</t>
        </is>
      </c>
    </row>
    <row r="9">
      <c r="A9" s="3" t="inlineStr">
        <is>
          <t>Scenario</t>
        </is>
      </c>
      <c r="B9" s="4" t="inlineStr">
        <is>
          <t>Five screens (Home, Game Map, Learn + dish page, Pantry, Puzzle board), each measured on its own; then five full loops through all of them.</t>
        </is>
      </c>
    </row>
    <row r="10">
      <c r="A10" s="3" t="inlineStr"/>
      <c r="B10" s="4" t="inlineStr"/>
    </row>
    <row r="11">
      <c r="A11" s="5" t="inlineStr">
        <is>
          <t>Key results</t>
        </is>
      </c>
      <c r="B11" s="4" t="inlineStr"/>
    </row>
    <row r="12">
      <c r="A12" s="3" t="inlineStr">
        <is>
          <t>Cold start (quiet phone)</t>
        </is>
      </c>
      <c r="B12" s="6">
        <f>'Startup'!C12</f>
        <v/>
      </c>
    </row>
    <row r="13">
      <c r="A13" s="3" t="inlineStr">
        <is>
          <t>Warm start</t>
        </is>
      </c>
      <c r="B13" s="6">
        <f>'Startup'!C13</f>
        <v/>
      </c>
    </row>
    <row r="14">
      <c r="A14" s="3" t="inlineStr">
        <is>
          <t>Janky frames, sustained run</t>
        </is>
      </c>
      <c r="B14" s="6">
        <f>'Sustained'!B5</f>
        <v/>
      </c>
    </row>
    <row r="15">
      <c r="A15" s="3" t="inlineStr">
        <is>
          <t>Memory trend over the sustained run</t>
        </is>
      </c>
      <c r="B15" s="6">
        <f>'Sustained'!C21</f>
        <v/>
      </c>
    </row>
    <row r="16">
      <c r="A16" s="3" t="inlineStr">
        <is>
          <t>Crashes / freezes during play</t>
        </is>
      </c>
      <c r="B16" s="6">
        <f>'Sustained'!B11</f>
        <v/>
      </c>
    </row>
    <row r="17">
      <c r="A17" s="3" t="inlineStr">
        <is>
          <t>Startup freezes found</t>
        </is>
      </c>
      <c r="B17" s="4" t="inlineStr">
        <is>
          <t>2 (both right after the emulator booted) — see 'Startup freezes'</t>
        </is>
      </c>
    </row>
    <row r="18">
      <c r="A18" s="3" t="inlineStr"/>
      <c r="B18" s="4" t="inlineStr"/>
    </row>
    <row r="19">
      <c r="A19" s="3" t="inlineStr">
        <is>
          <t>Limitations</t>
        </is>
      </c>
      <c r="B19" s="4" t="inlineStr">
        <is>
          <t>The emulator gives worst-case startup and memory figures, but not smoothness (it borrows the laptop's processor and graphics). Frame rates come from the real phone. One mid-range phone was tested; a budget phone would show more strain.</t>
        </is>
      </c>
    </row>
    <row r="20">
      <c r="A20" s="21" t="inlineStr"/>
      <c r="B20" s="6" t="inlineStr"/>
    </row>
    <row r="21">
      <c r="A21" s="22" t="inlineStr">
        <is>
          <t>Real phone (vivo V17 Pro, release 1.26)</t>
        </is>
      </c>
      <c r="B21" s="6" t="inlineStr"/>
    </row>
    <row r="22">
      <c r="A22" s="21" t="inlineStr">
        <is>
          <t>Cold start, real phone</t>
        </is>
      </c>
      <c r="B22" s="6">
        <f>'Real phone'!B19</f>
        <v/>
      </c>
    </row>
    <row r="23">
      <c r="A23" s="21" t="inlineStr">
        <is>
          <t>Game Map janky frames, real phone</t>
        </is>
      </c>
      <c r="B23" s="23">
        <f>'Real phone'!E24</f>
        <v/>
      </c>
    </row>
    <row r="24">
      <c r="A24" s="21" t="inlineStr">
        <is>
          <t>Sustained janky frames, real phone</t>
        </is>
      </c>
      <c r="B24" s="23">
        <f>'Real phone'!B41</f>
        <v/>
      </c>
    </row>
    <row r="25">
      <c r="A25" s="21" t="inlineStr">
        <is>
          <t>Memory trend, real phone</t>
        </is>
      </c>
      <c r="B25" s="6">
        <f>'Real phone'!C54</f>
        <v/>
      </c>
    </row>
    <row r="26">
      <c r="A26" s="21" t="inlineStr"/>
      <c r="B26" s="6" t="inlineStr"/>
    </row>
    <row r="27">
      <c r="A27" s="22" t="inlineStr">
        <is>
          <t>Server (read-only load, live)</t>
        </is>
      </c>
      <c r="B27" s="6" t="inlineStr"/>
    </row>
    <row r="28">
      <c r="A28" s="21" t="inlineStr">
        <is>
          <t>Errors from 5 to 40 players</t>
        </is>
      </c>
      <c r="B28" s="23">
        <f>'Server load'!E9</f>
        <v/>
      </c>
    </row>
    <row r="29">
      <c r="A29" s="21" t="inlineStr">
        <is>
          <t>Average response at 40 players (s)</t>
        </is>
      </c>
      <c r="B29" s="24">
        <f>'Server load'!F8</f>
        <v/>
      </c>
    </row>
    <row r="30">
      <c r="A30" s="21" t="inlineStr">
        <is>
          <t>Peak database load (DTU %)</t>
        </is>
      </c>
      <c r="B30" s="25">
        <f>MAX('Azure metrics'!G5:G30)</f>
        <v/>
      </c>
    </row>
    <row r="31">
      <c r="A31" s="21" t="inlineStr">
        <is>
          <t>Not yet tested</t>
        </is>
      </c>
      <c r="B31" s="6" t="inlineStr">
        <is>
          <t>Purchases, spins and claims under load (writes to the reward chain): waiting for a test copy of the server (option A).</t>
        </is>
      </c>
    </row>
    <row r="32">
      <c r="A32" s="21" t="inlineStr"/>
      <c r="B32" s="6" t="inlineStr"/>
    </row>
    <row r="33">
      <c r="A33" s="21" t="inlineStr">
        <is>
          <t>Correction</t>
        </is>
      </c>
      <c r="B33" s="6" t="inlineStr">
        <is>
          <t>Earlier drafts called the emulator a worst case. For startup and memory it is; for smoothness it is not, because the emulator uses the laptop's processor and graphics. The real-phone sheet is the one to cite for frame rates.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showGridLines="0" workbookViewId="0">
      <selection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1" t="inlineStr">
        <is>
          <t>App startup time (ms)</t>
        </is>
      </c>
    </row>
    <row r="2">
      <c r="A2" s="2" t="inlineStr">
        <is>
          <t>am start -W TotalTime. Cold = app fully closed. Warm = brought back from the background.</t>
        </is>
      </c>
    </row>
    <row r="4">
      <c r="A4" s="7" t="inlineStr">
        <is>
          <t>Run</t>
        </is>
      </c>
      <c r="B4" s="7" t="inlineStr">
        <is>
          <t>Cold — before fix</t>
        </is>
      </c>
      <c r="C4" s="7" t="inlineStr">
        <is>
          <t>Cold — after fix</t>
        </is>
      </c>
      <c r="D4" s="7" t="inlineStr">
        <is>
          <t>Warm — before fix</t>
        </is>
      </c>
      <c r="E4" s="7" t="inlineStr">
        <is>
          <t>Warm — after fix</t>
        </is>
      </c>
    </row>
    <row r="5">
      <c r="A5" s="8" t="inlineStr">
        <is>
          <t>Run 1</t>
        </is>
      </c>
      <c r="B5" s="9" t="n">
        <v>2824</v>
      </c>
      <c r="C5" s="9" t="n">
        <v>3089</v>
      </c>
      <c r="D5" s="9" t="n">
        <v>127</v>
      </c>
      <c r="E5" s="9" t="n">
        <v>152</v>
      </c>
    </row>
    <row r="6">
      <c r="A6" s="8" t="inlineStr">
        <is>
          <t>Run 2</t>
        </is>
      </c>
      <c r="B6" s="9" t="n">
        <v>2609</v>
      </c>
      <c r="C6" s="9" t="n">
        <v>2463</v>
      </c>
      <c r="D6" s="9" t="n">
        <v>146</v>
      </c>
      <c r="E6" s="9" t="n">
        <v>142</v>
      </c>
    </row>
    <row r="7">
      <c r="A7" s="8" t="inlineStr">
        <is>
          <t>Run 3</t>
        </is>
      </c>
      <c r="B7" s="9" t="n">
        <v>2516</v>
      </c>
      <c r="C7" s="9" t="n">
        <v>2439</v>
      </c>
      <c r="D7" s="9" t="n">
        <v>170</v>
      </c>
      <c r="E7" s="9" t="n">
        <v>139</v>
      </c>
    </row>
    <row r="8">
      <c r="A8" s="8" t="inlineStr">
        <is>
          <t>Run 4</t>
        </is>
      </c>
      <c r="B8" s="9" t="n">
        <v>2389</v>
      </c>
      <c r="C8" s="9" t="n">
        <v>2671</v>
      </c>
      <c r="D8" s="9" t="n">
        <v>160</v>
      </c>
      <c r="E8" s="9" t="n">
        <v>165</v>
      </c>
    </row>
    <row r="9">
      <c r="A9" s="8" t="inlineStr">
        <is>
          <t>Run 5</t>
        </is>
      </c>
      <c r="B9" s="9" t="n">
        <v>2801</v>
      </c>
      <c r="C9" s="9" t="n">
        <v>2439</v>
      </c>
      <c r="D9" s="9" t="n">
        <v>84</v>
      </c>
      <c r="E9" s="9" t="n">
        <v>150</v>
      </c>
    </row>
    <row r="10">
      <c r="A10" s="10" t="inlineStr">
        <is>
          <t>Average</t>
        </is>
      </c>
      <c r="B10" s="11">
        <f>AVERAGE(B5:B9)</f>
        <v/>
      </c>
      <c r="C10" s="11">
        <f>AVERAGE(C5:C9)</f>
        <v/>
      </c>
      <c r="D10" s="11">
        <f>AVERAGE(D5:D9)</f>
        <v/>
      </c>
      <c r="E10" s="11">
        <f>AVERAGE(E5:E9)</f>
        <v/>
      </c>
    </row>
    <row r="11">
      <c r="A11" s="10" t="inlineStr">
        <is>
          <t>Fastest</t>
        </is>
      </c>
      <c r="B11" s="11">
        <f>MIN(B5:B9)</f>
        <v/>
      </c>
      <c r="C11" s="11">
        <f>MIN(C5:C9)</f>
        <v/>
      </c>
      <c r="D11" s="11">
        <f>MIN(D5:D9)</f>
        <v/>
      </c>
      <c r="E11" s="11">
        <f>MIN(E5:E9)</f>
        <v/>
      </c>
    </row>
    <row r="12">
      <c r="A12" s="10" t="inlineStr">
        <is>
          <t>Cold start, after fix (avg)</t>
        </is>
      </c>
      <c r="B12" s="11">
        <f>MAX(B5:B9)</f>
        <v/>
      </c>
      <c r="C12" s="11">
        <f>TEXT(C10/1000,"0.0")&amp;" s"</f>
        <v/>
      </c>
      <c r="D12" s="11">
        <f>MAX(D5:D9)</f>
        <v/>
      </c>
      <c r="E12" s="11">
        <f>MAX(E5:E9)</f>
        <v/>
      </c>
    </row>
    <row r="13">
      <c r="A13" s="10" t="inlineStr">
        <is>
          <t>Warm start, after fix (avg)</t>
        </is>
      </c>
      <c r="C13" s="8">
        <f>TEXT(E10/1000,"0.00")&amp;" s"</f>
        <v/>
      </c>
    </row>
    <row r="16">
      <c r="A16" s="5" t="inlineStr">
        <is>
          <t>Cold start with the CPU maxed out (six busy loops inside the emulator)</t>
        </is>
      </c>
    </row>
    <row r="17">
      <c r="A17" s="7" t="inlineStr">
        <is>
          <t>Run</t>
        </is>
      </c>
      <c r="B17" s="7" t="inlineStr">
        <is>
          <t>Old startup code</t>
        </is>
      </c>
      <c r="C17" s="7" t="inlineStr">
        <is>
          <t>Fixed startup code</t>
        </is>
      </c>
    </row>
    <row r="18">
      <c r="A18" s="8" t="inlineStr">
        <is>
          <t>Run 1</t>
        </is>
      </c>
      <c r="B18" s="9" t="n">
        <v>5931</v>
      </c>
      <c r="C18" s="9" t="n">
        <v>7611</v>
      </c>
    </row>
    <row r="19">
      <c r="A19" s="8" t="inlineStr">
        <is>
          <t>Run 2</t>
        </is>
      </c>
      <c r="B19" s="9" t="n">
        <v>6086</v>
      </c>
      <c r="C19" s="9" t="n">
        <v>5928</v>
      </c>
    </row>
    <row r="20">
      <c r="A20" s="8" t="inlineStr">
        <is>
          <t>Run 3</t>
        </is>
      </c>
      <c r="B20" s="9" t="n">
        <v>6482</v>
      </c>
      <c r="C20" s="9" t="n">
        <v>6183</v>
      </c>
    </row>
    <row r="21">
      <c r="A21" s="10" t="inlineStr">
        <is>
          <t>Average</t>
        </is>
      </c>
      <c r="B21" s="11">
        <f>AVERAGE(B18:B20)</f>
        <v/>
      </c>
      <c r="C21" s="11">
        <f>AVERAGE(C18:C20)</f>
        <v/>
      </c>
    </row>
    <row r="22">
      <c r="A22" s="12" t="inlineStr">
        <is>
          <t>Freezes (ANR) during these runs</t>
        </is>
      </c>
      <c r="B22" s="13" t="n">
        <v>0</v>
      </c>
      <c r="C22" s="13" t="n">
        <v>0</v>
      </c>
    </row>
    <row r="24" ht="30" customHeight="1">
      <c r="A24" s="14" t="inlineStr">
        <is>
          <t>Reading: on a quiet phone startup is unchanged by the fix (the noise between runs is larger than any difference). Maxing out the CPU did not reproduce the freeze in either version, so this test cannot prove the fix prevents it; see 'Startup freezes'.</t>
        </is>
      </c>
    </row>
    <row r="25"/>
  </sheetData>
  <mergeCells count="1">
    <mergeCell ref="A24:E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showGridLines="0" workbookViewId="0">
      <selection activeCell="A1" sqref="A1"/>
    </sheetView>
  </sheetViews>
  <sheetFormatPr baseColWidth="8" defaultRowHeight="15"/>
  <cols>
    <col width="44" customWidth="1" min="1" max="1"/>
    <col width="9" customWidth="1" min="2" max="2"/>
    <col width="9" customWidth="1" min="3" max="3"/>
    <col width="11" customWidth="1" min="4" max="4"/>
    <col width="9" customWidth="1" min="5" max="5"/>
    <col width="12" customWidth="1" min="6" max="6"/>
    <col width="10" customWidth="1" min="7" max="7"/>
    <col width="10" customWidth="1" min="8" max="8"/>
    <col width="10" customWidth="1" min="9" max="9"/>
    <col width="12" customWidth="1" min="10" max="10"/>
    <col width="13" customWidth="1" min="11" max="11"/>
  </cols>
  <sheetData>
    <row r="1">
      <c r="A1" s="1" t="inlineStr">
        <is>
          <t>Real phone: vivo V17 Pro, release build 1.26</t>
        </is>
      </c>
    </row>
    <row r="2">
      <c r="A2" s="2" t="inlineStr">
        <is>
          <t>Same read-only scenario as the emulator. Blue = measured, black = formula.</t>
        </is>
      </c>
    </row>
    <row r="4">
      <c r="A4" s="3" t="inlineStr">
        <is>
          <t>Phone</t>
        </is>
      </c>
      <c r="B4" s="26" t="inlineStr">
        <is>
          <t>vivo 1910 (vivo V17 Pro)</t>
        </is>
      </c>
    </row>
    <row r="5">
      <c r="A5" s="3" t="inlineStr">
        <is>
          <t>Android</t>
        </is>
      </c>
      <c r="B5" s="26" t="inlineStr">
        <is>
          <t>12 (API 31)</t>
        </is>
      </c>
    </row>
    <row r="6">
      <c r="A6" s="3" t="inlineStr">
        <is>
          <t>Chip</t>
        </is>
      </c>
      <c r="B6" s="26" t="inlineStr">
        <is>
          <t>Qualcomm SM6150 (Snapdragon 675)</t>
        </is>
      </c>
    </row>
    <row r="7">
      <c r="A7" s="3" t="inlineStr">
        <is>
          <t>RAM</t>
        </is>
      </c>
      <c r="B7" s="26" t="inlineStr">
        <is>
          <t>8 GB (MemTotal 7752860 kB)</t>
        </is>
      </c>
    </row>
    <row r="8">
      <c r="A8" s="3" t="inlineStr">
        <is>
          <t>Screen</t>
        </is>
      </c>
      <c r="B8" s="26" t="inlineStr">
        <is>
          <t>1080 x 2400, density 480, 60 Hz</t>
        </is>
      </c>
    </row>
    <row r="9">
      <c r="A9" s="3" t="inlineStr">
        <is>
          <t>App</t>
        </is>
      </c>
      <c r="B9" s="26" t="inlineStr">
        <is>
          <t>Kusina Kode 1.26 release build (versionCode 27), installed from the v1.26 release</t>
        </is>
      </c>
    </row>
    <row r="10">
      <c r="A10" s="3" t="inlineStr">
        <is>
          <t>Account</t>
        </is>
      </c>
      <c r="B10" s="26" t="inlineStr">
        <is>
          <t>Chef Mau (logged in)</t>
        </is>
      </c>
    </row>
    <row r="12">
      <c r="A12" s="5" t="inlineStr">
        <is>
          <t>Startup (ms)</t>
        </is>
      </c>
    </row>
    <row r="13">
      <c r="A13" s="7" t="inlineStr">
        <is>
          <t>Run</t>
        </is>
      </c>
      <c r="B13" s="7" t="inlineStr">
        <is>
          <t>Cold start</t>
        </is>
      </c>
      <c r="C13" s="7" t="inlineStr">
        <is>
          <t>Warm start</t>
        </is>
      </c>
    </row>
    <row r="14">
      <c r="A14" s="27" t="inlineStr">
        <is>
          <t>Run 1</t>
        </is>
      </c>
      <c r="B14" s="28" t="n">
        <v>703</v>
      </c>
      <c r="C14" s="28" t="n">
        <v>139</v>
      </c>
    </row>
    <row r="15">
      <c r="A15" s="27" t="inlineStr">
        <is>
          <t>Run 2</t>
        </is>
      </c>
      <c r="B15" s="28" t="n">
        <v>782</v>
      </c>
      <c r="C15" s="28" t="n">
        <v>155</v>
      </c>
    </row>
    <row r="16">
      <c r="A16" s="27" t="inlineStr">
        <is>
          <t>Run 3</t>
        </is>
      </c>
      <c r="B16" s="28" t="n">
        <v>772</v>
      </c>
      <c r="C16" s="28" t="n">
        <v>146</v>
      </c>
    </row>
    <row r="17">
      <c r="A17" s="27" t="inlineStr">
        <is>
          <t>Run 4</t>
        </is>
      </c>
      <c r="B17" s="28" t="n">
        <v>723</v>
      </c>
      <c r="C17" s="28" t="n">
        <v>146</v>
      </c>
    </row>
    <row r="18">
      <c r="A18" s="27" t="inlineStr">
        <is>
          <t>Run 5</t>
        </is>
      </c>
      <c r="B18" s="28" t="n">
        <v>735</v>
      </c>
      <c r="C18" s="28" t="n">
        <v>152</v>
      </c>
    </row>
    <row r="19">
      <c r="A19" s="29" t="inlineStr">
        <is>
          <t>Average</t>
        </is>
      </c>
      <c r="B19" s="30">
        <f>AVERAGE(B14:B18)</f>
        <v/>
      </c>
      <c r="C19" s="30">
        <f>AVERAGE(C14:C18)</f>
        <v/>
      </c>
    </row>
    <row r="21">
      <c r="A21" s="5" t="inlineStr">
        <is>
          <t>Per screen</t>
        </is>
      </c>
    </row>
    <row r="22">
      <c r="A22" s="7" t="inlineStr">
        <is>
          <t>Screen</t>
        </is>
      </c>
      <c r="B22" s="7" t="inlineStr">
        <is>
          <t>Seconds</t>
        </is>
      </c>
      <c r="C22" s="7" t="inlineStr">
        <is>
          <t>Frames</t>
        </is>
      </c>
      <c r="D22" s="7" t="inlineStr">
        <is>
          <t>Janky frames</t>
        </is>
      </c>
      <c r="E22" s="7" t="inlineStr">
        <is>
          <t>Janky %</t>
        </is>
      </c>
      <c r="F22" s="7" t="inlineStr">
        <is>
          <t>Median frame (ms)</t>
        </is>
      </c>
      <c r="G22" s="7" t="inlineStr">
        <is>
          <t>90th pct (ms)</t>
        </is>
      </c>
      <c r="H22" s="7" t="inlineStr">
        <is>
          <t>95th pct (ms)</t>
        </is>
      </c>
      <c r="I22" s="7" t="inlineStr">
        <is>
          <t>99th pct (ms)</t>
        </is>
      </c>
      <c r="J22" s="7" t="inlineStr">
        <is>
          <t>Slow UI-thread frames</t>
        </is>
      </c>
      <c r="K22" s="7" t="inlineStr">
        <is>
          <t>Memory (PSS, MB)</t>
        </is>
      </c>
    </row>
    <row r="23">
      <c r="A23" s="27" t="inlineStr">
        <is>
          <t>Home</t>
        </is>
      </c>
      <c r="B23" s="31" t="n">
        <v>28</v>
      </c>
      <c r="C23" s="28" t="n">
        <v>961</v>
      </c>
      <c r="D23" s="28" t="n">
        <v>353</v>
      </c>
      <c r="E23" s="32">
        <f>D23/C23</f>
        <v/>
      </c>
      <c r="F23" s="31" t="n">
        <v>24</v>
      </c>
      <c r="G23" s="31" t="n">
        <v>34</v>
      </c>
      <c r="H23" s="31" t="n">
        <v>34</v>
      </c>
      <c r="I23" s="31" t="n">
        <v>46</v>
      </c>
      <c r="J23" s="31" t="n">
        <v>75</v>
      </c>
      <c r="K23" s="33">
        <f>207515/1024</f>
        <v/>
      </c>
    </row>
    <row r="24">
      <c r="A24" s="34" t="inlineStr">
        <is>
          <t>Game Map</t>
        </is>
      </c>
      <c r="B24" s="35" t="n">
        <v>97</v>
      </c>
      <c r="C24" s="36" t="n">
        <v>4526</v>
      </c>
      <c r="D24" s="36" t="n">
        <v>4268</v>
      </c>
      <c r="E24" s="37">
        <f>D24/C24</f>
        <v/>
      </c>
      <c r="F24" s="35" t="n">
        <v>38</v>
      </c>
      <c r="G24" s="35" t="n">
        <v>48</v>
      </c>
      <c r="H24" s="35" t="n">
        <v>53</v>
      </c>
      <c r="I24" s="35" t="n">
        <v>65</v>
      </c>
      <c r="J24" s="35" t="n">
        <v>3531</v>
      </c>
      <c r="K24" s="38">
        <f>379913/1024</f>
        <v/>
      </c>
    </row>
    <row r="25">
      <c r="A25" s="27" t="inlineStr">
        <is>
          <t>Learn + dish page</t>
        </is>
      </c>
      <c r="B25" s="31" t="n">
        <v>72</v>
      </c>
      <c r="C25" s="28" t="n">
        <v>1502</v>
      </c>
      <c r="D25" s="28" t="n">
        <v>274</v>
      </c>
      <c r="E25" s="32">
        <f>D25/C25</f>
        <v/>
      </c>
      <c r="F25" s="31" t="n">
        <v>23</v>
      </c>
      <c r="G25" s="31" t="n">
        <v>31</v>
      </c>
      <c r="H25" s="31" t="n">
        <v>38</v>
      </c>
      <c r="I25" s="31" t="n">
        <v>61</v>
      </c>
      <c r="J25" s="31" t="n">
        <v>186</v>
      </c>
      <c r="K25" s="33">
        <f>521665/1024</f>
        <v/>
      </c>
    </row>
    <row r="26">
      <c r="A26" s="34" t="inlineStr">
        <is>
          <t>Pantry</t>
        </is>
      </c>
      <c r="B26" s="35" t="n">
        <v>44</v>
      </c>
      <c r="C26" s="36" t="n">
        <v>1772</v>
      </c>
      <c r="D26" s="36" t="n">
        <v>1487</v>
      </c>
      <c r="E26" s="37">
        <f>D26/C26</f>
        <v/>
      </c>
      <c r="F26" s="35" t="n">
        <v>32</v>
      </c>
      <c r="G26" s="35" t="n">
        <v>36</v>
      </c>
      <c r="H26" s="35" t="n">
        <v>38</v>
      </c>
      <c r="I26" s="35" t="n">
        <v>46</v>
      </c>
      <c r="J26" s="35" t="n">
        <v>147</v>
      </c>
      <c r="K26" s="38">
        <f>349978/1024</f>
        <v/>
      </c>
    </row>
    <row r="27">
      <c r="A27" s="27" t="inlineStr">
        <is>
          <t>Puzzle board</t>
        </is>
      </c>
      <c r="B27" s="31" t="n">
        <v>57</v>
      </c>
      <c r="C27" s="28" t="n">
        <v>2624</v>
      </c>
      <c r="D27" s="28" t="n">
        <v>974</v>
      </c>
      <c r="E27" s="32">
        <f>D27/C27</f>
        <v/>
      </c>
      <c r="F27" s="31" t="n">
        <v>26</v>
      </c>
      <c r="G27" s="31" t="n">
        <v>38</v>
      </c>
      <c r="H27" s="31" t="n">
        <v>40</v>
      </c>
      <c r="I27" s="31" t="n">
        <v>89</v>
      </c>
      <c r="J27" s="31" t="n">
        <v>343</v>
      </c>
      <c r="K27" s="33">
        <f>183170/1024</f>
        <v/>
      </c>
    </row>
    <row r="29">
      <c r="A29" s="5" t="inlineStr">
        <is>
          <t>Control check: the same screens with no screen reads by the test tool</t>
        </is>
      </c>
    </row>
    <row r="30">
      <c r="A30" s="7" t="inlineStr">
        <is>
          <t>Check</t>
        </is>
      </c>
      <c r="B30" s="7" t="inlineStr">
        <is>
          <t>Frames</t>
        </is>
      </c>
      <c r="C30" s="7" t="inlineStr">
        <is>
          <t>Janky frames</t>
        </is>
      </c>
      <c r="D30" s="7" t="inlineStr">
        <is>
          <t>Janky %</t>
        </is>
      </c>
      <c r="E30" s="7" t="inlineStr">
        <is>
          <t>Median frame (ms)</t>
        </is>
      </c>
      <c r="F30" s="7" t="inlineStr">
        <is>
          <t>99th pct (ms)</t>
        </is>
      </c>
      <c r="G30" s="7" t="inlineStr">
        <is>
          <t>Slow UI-thread frames</t>
        </is>
      </c>
    </row>
    <row r="31">
      <c r="A31" s="18" t="inlineStr">
        <is>
          <t>Game Map, idle 20s (no screen reads)</t>
        </is>
      </c>
      <c r="B31" s="28" t="n">
        <v>1133</v>
      </c>
      <c r="C31" s="28" t="n">
        <v>1106</v>
      </c>
      <c r="D31" s="32">
        <f>C31/B31</f>
        <v/>
      </c>
      <c r="E31" s="31" t="n">
        <v>30</v>
      </c>
      <c r="F31" s="31" t="n">
        <v>46</v>
      </c>
      <c r="G31" s="31" t="n">
        <v>808</v>
      </c>
    </row>
    <row r="32">
      <c r="A32" s="18" t="inlineStr">
        <is>
          <t>Home, 20 swipes (no screen reads)</t>
        </is>
      </c>
      <c r="B32" s="28" t="n">
        <v>874</v>
      </c>
      <c r="C32" s="28" t="n">
        <v>286</v>
      </c>
      <c r="D32" s="32">
        <f>C32/B32</f>
        <v/>
      </c>
      <c r="E32" s="31" t="n">
        <v>24</v>
      </c>
      <c r="F32" s="31" t="n">
        <v>48</v>
      </c>
      <c r="G32" s="31" t="n">
        <v>49</v>
      </c>
    </row>
    <row r="33">
      <c r="A33" s="27" t="inlineStr">
        <is>
          <t>Home, idle 15s</t>
        </is>
      </c>
      <c r="B33" s="28" t="n">
        <v>210</v>
      </c>
      <c r="C33" s="28" t="n">
        <v>11</v>
      </c>
      <c r="D33" s="32">
        <f>C33/B33</f>
        <v/>
      </c>
      <c r="E33" s="31" t="n">
        <v>18</v>
      </c>
      <c r="F33" s="31" t="n">
        <v>61</v>
      </c>
      <c r="G33" s="31" t="n">
        <v>4</v>
      </c>
    </row>
    <row r="35" ht="44" customHeight="1">
      <c r="A35" s="14" t="inlineStr">
        <is>
          <t>The Game Map stays ~98% janky even when nothing is touched, so the slowdown is the map's own looping animations (pin pulse, floating spin button) running on the main thread, not the test tool. On a 60 Hz screen a frame must be ready in 16.7 ms; the map takes ~30 ms (about 33 fps).</t>
        </is>
      </c>
    </row>
    <row r="38">
      <c r="A38" s="5" t="inlineStr">
        <is>
          <t>Sustained play: five full loops</t>
        </is>
      </c>
    </row>
    <row r="39">
      <c r="A39" s="3" t="inlineStr">
        <is>
          <t>Frames drawn</t>
        </is>
      </c>
      <c r="B39" s="28" t="n">
        <v>81764</v>
      </c>
    </row>
    <row r="40">
      <c r="A40" s="3" t="inlineStr">
        <is>
          <t>Janky frames</t>
        </is>
      </c>
      <c r="B40" s="28" t="n">
        <v>46815</v>
      </c>
    </row>
    <row r="41">
      <c r="A41" s="3" t="inlineStr">
        <is>
          <t>Janky %</t>
        </is>
      </c>
      <c r="B41" s="32">
        <f>B40/B39</f>
        <v/>
      </c>
    </row>
    <row r="42">
      <c r="A42" s="3" t="inlineStr">
        <is>
          <t>Median frame (ms)</t>
        </is>
      </c>
      <c r="B42" s="31" t="n">
        <v>30</v>
      </c>
    </row>
    <row r="43">
      <c r="A43" s="3" t="inlineStr">
        <is>
          <t>99th percentile (ms)</t>
        </is>
      </c>
      <c r="B43" s="31" t="n">
        <v>48</v>
      </c>
    </row>
    <row r="44">
      <c r="A44" s="3" t="inlineStr">
        <is>
          <t>Crash / freeze reports</t>
        </is>
      </c>
      <c r="B44" s="31" t="n">
        <v>0</v>
      </c>
    </row>
    <row r="46">
      <c r="A46" s="7" t="inlineStr">
        <is>
          <t>Loop</t>
        </is>
      </c>
      <c r="B46" s="7" t="inlineStr">
        <is>
          <t>Elapsed (s)</t>
        </is>
      </c>
      <c r="C46" s="7" t="inlineStr">
        <is>
          <t>Memory (PSS, MB)</t>
        </is>
      </c>
    </row>
    <row r="47">
      <c r="A47" s="27" t="inlineStr">
        <is>
          <t>Start</t>
        </is>
      </c>
      <c r="B47" s="31" t="n">
        <v>0</v>
      </c>
      <c r="C47" s="33">
        <f>170450/1024</f>
        <v/>
      </c>
    </row>
    <row r="48">
      <c r="A48" s="27" t="inlineStr">
        <is>
          <t>After loop 1</t>
        </is>
      </c>
      <c r="B48" s="31" t="n">
        <v>272</v>
      </c>
      <c r="C48" s="33">
        <f>149606/1024</f>
        <v/>
      </c>
    </row>
    <row r="49">
      <c r="A49" s="27" t="inlineStr">
        <is>
          <t>After loop 2</t>
        </is>
      </c>
      <c r="B49" s="31" t="n">
        <v>549</v>
      </c>
      <c r="C49" s="33">
        <f>155605/1024</f>
        <v/>
      </c>
    </row>
    <row r="50">
      <c r="A50" s="27" t="inlineStr">
        <is>
          <t>After loop 3</t>
        </is>
      </c>
      <c r="B50" s="31" t="n">
        <v>824</v>
      </c>
      <c r="C50" s="33">
        <f>156815/1024</f>
        <v/>
      </c>
    </row>
    <row r="51">
      <c r="A51" s="27" t="inlineStr">
        <is>
          <t>After loop 4</t>
        </is>
      </c>
      <c r="B51" s="31" t="n">
        <v>1068</v>
      </c>
      <c r="C51" s="33">
        <f>151860/1024</f>
        <v/>
      </c>
    </row>
    <row r="52">
      <c r="A52" s="27" t="inlineStr">
        <is>
          <t>After loop 5</t>
        </is>
      </c>
      <c r="B52" s="31" t="n">
        <v>1352</v>
      </c>
      <c r="C52" s="33">
        <f>151609/1024</f>
        <v/>
      </c>
    </row>
    <row r="54">
      <c r="A54" s="3" t="inlineStr">
        <is>
          <t>Memory trend</t>
        </is>
      </c>
      <c r="C54" s="18">
        <f>IF(MAX(C48:C52)-MIN(C48:C52)&lt;=30,"Flat (no leak)","Rising: check for a leak")</f>
        <v/>
      </c>
    </row>
  </sheetData>
  <mergeCells count="8">
    <mergeCell ref="B8:H8"/>
    <mergeCell ref="A35:K35"/>
    <mergeCell ref="B9:H9"/>
    <mergeCell ref="B4:H4"/>
    <mergeCell ref="B6:H6"/>
    <mergeCell ref="B7:H7"/>
    <mergeCell ref="B10:H10"/>
    <mergeCell ref="B5:H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34" customWidth="1" min="1" max="1"/>
    <col width="26" customWidth="1" min="2" max="2"/>
    <col width="30" customWidth="1" min="3" max="3"/>
    <col width="22" customWidth="1" min="4" max="4"/>
  </cols>
  <sheetData>
    <row r="1">
      <c r="A1" s="1" t="inlineStr">
        <is>
          <t>Real phone vs emulator</t>
        </is>
      </c>
    </row>
    <row r="2">
      <c r="A2" s="2" t="inlineStr">
        <is>
          <t>Every figure is a link to the measurement sheets.</t>
        </is>
      </c>
    </row>
    <row r="4">
      <c r="A4" s="7" t="inlineStr">
        <is>
          <t>Measure</t>
        </is>
      </c>
      <c r="B4" s="7" t="inlineStr">
        <is>
          <t>Emulator (debug, 2 GB RAM)</t>
        </is>
      </c>
      <c r="C4" s="7" t="inlineStr">
        <is>
          <t>Real phone (release, vivo V17 Pro)</t>
        </is>
      </c>
      <c r="D4" s="7" t="inlineStr">
        <is>
          <t>Which is better</t>
        </is>
      </c>
    </row>
    <row r="5">
      <c r="A5" s="27" t="inlineStr">
        <is>
          <t>Cold start (ms, average)</t>
        </is>
      </c>
      <c r="B5" s="30">
        <f>'Startup'!C10</f>
        <v/>
      </c>
      <c r="C5" s="30">
        <f>'Real phone'!B19</f>
        <v/>
      </c>
      <c r="D5" s="18">
        <f>IF(C5&lt;B5,"Real phone",IF(C5&gt;B5,"Emulator","Same"))</f>
        <v/>
      </c>
    </row>
    <row r="6">
      <c r="A6" s="27" t="inlineStr">
        <is>
          <t>Warm start (ms, average)</t>
        </is>
      </c>
      <c r="B6" s="30">
        <f>'Startup'!E10</f>
        <v/>
      </c>
      <c r="C6" s="30">
        <f>'Real phone'!C19</f>
        <v/>
      </c>
      <c r="D6" s="18">
        <f>IF(C6&lt;B6,"Real phone",IF(C6&gt;B6,"Emulator","Same"))</f>
        <v/>
      </c>
    </row>
    <row r="7">
      <c r="A7" s="27" t="inlineStr">
        <is>
          <t>Home: janky frames</t>
        </is>
      </c>
      <c r="B7" s="32">
        <f>'Per screen'!E5</f>
        <v/>
      </c>
      <c r="C7" s="32">
        <f>'Real phone'!E23</f>
        <v/>
      </c>
      <c r="D7" s="18">
        <f>IF(C7&lt;B7,"Real phone",IF(C7&gt;B7,"Emulator","Same"))</f>
        <v/>
      </c>
    </row>
    <row r="8">
      <c r="A8" s="27" t="inlineStr">
        <is>
          <t>Game Map: janky frames</t>
        </is>
      </c>
      <c r="B8" s="32">
        <f>'Per screen'!E6</f>
        <v/>
      </c>
      <c r="C8" s="32">
        <f>'Real phone'!E24</f>
        <v/>
      </c>
      <c r="D8" s="18">
        <f>IF(C8&lt;B8,"Real phone",IF(C8&gt;B8,"Emulator","Same"))</f>
        <v/>
      </c>
    </row>
    <row r="9">
      <c r="A9" s="18" t="inlineStr">
        <is>
          <t>Learn + dish page: janky frames</t>
        </is>
      </c>
      <c r="B9" s="32">
        <f>'Per screen'!E7</f>
        <v/>
      </c>
      <c r="C9" s="32">
        <f>'Real phone'!E25</f>
        <v/>
      </c>
      <c r="D9" s="18">
        <f>IF(C9&lt;B9,"Real phone",IF(C9&gt;B9,"Emulator","Same"))</f>
        <v/>
      </c>
    </row>
    <row r="10">
      <c r="A10" s="27" t="inlineStr">
        <is>
          <t>Pantry: janky frames</t>
        </is>
      </c>
      <c r="B10" s="32">
        <f>'Per screen'!E8</f>
        <v/>
      </c>
      <c r="C10" s="32">
        <f>'Real phone'!E26</f>
        <v/>
      </c>
      <c r="D10" s="18">
        <f>IF(C10&lt;B10,"Real phone",IF(C10&gt;B10,"Emulator","Same"))</f>
        <v/>
      </c>
    </row>
    <row r="11">
      <c r="A11" s="27" t="inlineStr">
        <is>
          <t>Puzzle board: janky frames</t>
        </is>
      </c>
      <c r="B11" s="32">
        <f>'Per screen'!E9</f>
        <v/>
      </c>
      <c r="C11" s="32">
        <f>'Real phone'!E27</f>
        <v/>
      </c>
      <c r="D11" s="18">
        <f>IF(C11&lt;B11,"Real phone",IF(C11&gt;B11,"Emulator","Same"))</f>
        <v/>
      </c>
    </row>
    <row r="12">
      <c r="A12" s="27" t="inlineStr">
        <is>
          <t>Sustained run: janky frames</t>
        </is>
      </c>
      <c r="B12" s="32">
        <f>'Sustained'!B5</f>
        <v/>
      </c>
      <c r="C12" s="32">
        <f>'Real phone'!B41</f>
        <v/>
      </c>
      <c r="D12" s="18">
        <f>IF(C12&lt;B12,"Real phone",IF(C12&gt;B12,"Emulator","Same"))</f>
        <v/>
      </c>
    </row>
    <row r="13">
      <c r="A13" s="27" t="inlineStr">
        <is>
          <t>Memory trend</t>
        </is>
      </c>
      <c r="B13" s="27">
        <f>'Sustained'!C21</f>
        <v/>
      </c>
      <c r="C13" s="27">
        <f>'Real phone'!C54</f>
        <v/>
      </c>
    </row>
    <row r="15" ht="58" customHeight="1">
      <c r="A15" s="14" t="inlineStr">
        <is>
          <t>Startup: the real phone is about 3.5x faster (release build, real storage). Smoothness: the real phone is much worse on animated screens. The emulator borrows the laptop's processor and graphics, which hid the Game Map's per-frame cost. Use the real-phone figures for the manuscript; the emulator remains useful for crash and memory-leak checks.</t>
        </is>
      </c>
    </row>
  </sheetData>
  <mergeCells count="1">
    <mergeCell ref="A15:D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
  <sheetViews>
    <sheetView showGridLines="0" workbookViewId="0">
      <selection activeCell="A1" sqref="A1"/>
    </sheetView>
  </sheetViews>
  <sheetFormatPr baseColWidth="8" defaultRowHeight="15"/>
  <cols>
    <col width="20" customWidth="1" min="1" max="1"/>
    <col width="9" customWidth="1" min="2" max="2"/>
    <col width="9" customWidth="1" min="3" max="3"/>
    <col width="11" customWidth="1" min="4" max="4"/>
    <col width="9" customWidth="1" min="5" max="5"/>
    <col width="12" customWidth="1" min="6" max="6"/>
    <col width="10" customWidth="1" min="7" max="7"/>
    <col width="10" customWidth="1" min="8" max="8"/>
    <col width="10" customWidth="1" min="9" max="9"/>
    <col width="12" customWidth="1" min="10" max="10"/>
    <col width="13" customWidth="1" min="11" max="11"/>
  </cols>
  <sheetData>
    <row r="1">
      <c r="A1" s="1" t="inlineStr">
        <is>
          <t>Frames and memory per screen</t>
        </is>
      </c>
    </row>
    <row r="2">
      <c r="A2" s="2" t="inlineStr">
        <is>
          <t>dumpsys gfxinfo, reset before each screen. Janky = frame that missed its display deadline.</t>
        </is>
      </c>
    </row>
    <row r="4">
      <c r="A4" s="7" t="inlineStr">
        <is>
          <t>Screen</t>
        </is>
      </c>
      <c r="B4" s="7" t="inlineStr">
        <is>
          <t>Seconds</t>
        </is>
      </c>
      <c r="C4" s="7" t="inlineStr">
        <is>
          <t>Frames</t>
        </is>
      </c>
      <c r="D4" s="7" t="inlineStr">
        <is>
          <t>Janky frames</t>
        </is>
      </c>
      <c r="E4" s="7" t="inlineStr">
        <is>
          <t>Janky %</t>
        </is>
      </c>
      <c r="F4" s="7" t="inlineStr">
        <is>
          <t>Median frame (ms)</t>
        </is>
      </c>
      <c r="G4" s="7" t="inlineStr">
        <is>
          <t>90th pct (ms)</t>
        </is>
      </c>
      <c r="H4" s="7" t="inlineStr">
        <is>
          <t>95th pct (ms)</t>
        </is>
      </c>
      <c r="I4" s="7" t="inlineStr">
        <is>
          <t>99th pct (ms)</t>
        </is>
      </c>
      <c r="J4" s="7" t="inlineStr">
        <is>
          <t>Slow UI-thread frames</t>
        </is>
      </c>
      <c r="K4" s="7" t="inlineStr">
        <is>
          <t>Memory (PSS, MB)</t>
        </is>
      </c>
    </row>
    <row r="5">
      <c r="A5" s="8" t="inlineStr">
        <is>
          <t>Home</t>
        </is>
      </c>
      <c r="B5" s="13" t="n">
        <v>26</v>
      </c>
      <c r="C5" s="9" t="n">
        <v>948</v>
      </c>
      <c r="D5" s="9" t="n">
        <v>41</v>
      </c>
      <c r="E5" s="15">
        <f>D5/C5</f>
        <v/>
      </c>
      <c r="F5" s="13" t="n">
        <v>18</v>
      </c>
      <c r="G5" s="13" t="n">
        <v>24</v>
      </c>
      <c r="H5" s="13" t="n">
        <v>29</v>
      </c>
      <c r="I5" s="13" t="n">
        <v>36</v>
      </c>
      <c r="J5" s="13" t="n">
        <v>4</v>
      </c>
      <c r="K5" s="16">
        <f>178342/1024</f>
        <v/>
      </c>
    </row>
    <row r="6">
      <c r="A6" s="8" t="inlineStr">
        <is>
          <t>Game Map</t>
        </is>
      </c>
      <c r="B6" s="13" t="n">
        <v>87</v>
      </c>
      <c r="C6" s="9" t="n">
        <v>5026</v>
      </c>
      <c r="D6" s="9" t="n">
        <v>66</v>
      </c>
      <c r="E6" s="15">
        <f>D6/C6</f>
        <v/>
      </c>
      <c r="F6" s="13" t="n">
        <v>23</v>
      </c>
      <c r="G6" s="13" t="n">
        <v>29</v>
      </c>
      <c r="H6" s="13" t="n">
        <v>32</v>
      </c>
      <c r="I6" s="13" t="n">
        <v>53</v>
      </c>
      <c r="J6" s="13" t="n">
        <v>39</v>
      </c>
      <c r="K6" s="16">
        <f>174899/1024</f>
        <v/>
      </c>
    </row>
    <row r="7">
      <c r="A7" s="8" t="inlineStr">
        <is>
          <t>Learn + dish page</t>
        </is>
      </c>
      <c r="B7" s="13" t="n">
        <v>64</v>
      </c>
      <c r="C7" s="9" t="n">
        <v>1318</v>
      </c>
      <c r="D7" s="9" t="n">
        <v>77</v>
      </c>
      <c r="E7" s="15">
        <f>D7/C7</f>
        <v/>
      </c>
      <c r="F7" s="13" t="n">
        <v>17</v>
      </c>
      <c r="G7" s="13" t="n">
        <v>26</v>
      </c>
      <c r="H7" s="13" t="n">
        <v>32</v>
      </c>
      <c r="I7" s="13" t="n">
        <v>57</v>
      </c>
      <c r="J7" s="13" t="n">
        <v>21</v>
      </c>
      <c r="K7" s="16">
        <f>235068/1024</f>
        <v/>
      </c>
    </row>
    <row r="8">
      <c r="A8" s="8" t="inlineStr">
        <is>
          <t>Pantry</t>
        </is>
      </c>
      <c r="B8" s="13" t="n">
        <v>40</v>
      </c>
      <c r="C8" s="9" t="n">
        <v>1558</v>
      </c>
      <c r="D8" s="9" t="n">
        <v>30</v>
      </c>
      <c r="E8" s="15">
        <f>D8/C8</f>
        <v/>
      </c>
      <c r="F8" s="13" t="n">
        <v>22</v>
      </c>
      <c r="G8" s="13" t="n">
        <v>27</v>
      </c>
      <c r="H8" s="13" t="n">
        <v>31</v>
      </c>
      <c r="I8" s="13" t="n">
        <v>53</v>
      </c>
      <c r="J8" s="13" t="n">
        <v>17</v>
      </c>
      <c r="K8" s="16">
        <f>307126/1024</f>
        <v/>
      </c>
    </row>
    <row r="9">
      <c r="A9" s="8" t="inlineStr">
        <is>
          <t>Puzzle board</t>
        </is>
      </c>
      <c r="B9" s="13" t="n">
        <v>52</v>
      </c>
      <c r="C9" s="9" t="n">
        <v>2451</v>
      </c>
      <c r="D9" s="9" t="n">
        <v>82</v>
      </c>
      <c r="E9" s="15">
        <f>D9/C9</f>
        <v/>
      </c>
      <c r="F9" s="13" t="n">
        <v>24</v>
      </c>
      <c r="G9" s="13" t="n">
        <v>34</v>
      </c>
      <c r="H9" s="13" t="n">
        <v>42</v>
      </c>
      <c r="I9" s="13" t="n">
        <v>69</v>
      </c>
      <c r="J9" s="13" t="n">
        <v>51</v>
      </c>
      <c r="K9" s="16">
        <f>191830/1024</f>
        <v/>
      </c>
    </row>
    <row r="10">
      <c r="A10" s="10" t="inlineStr">
        <is>
          <t>All screens</t>
        </is>
      </c>
      <c r="B10" s="8">
        <f>SUM(B5:B9)</f>
        <v/>
      </c>
      <c r="C10" s="11">
        <f>SUM(C5:C9)</f>
        <v/>
      </c>
      <c r="D10" s="11">
        <f>SUM(D5:D9)</f>
        <v/>
      </c>
      <c r="E10" s="15">
        <f>D10/C10</f>
        <v/>
      </c>
      <c r="I10" s="8">
        <f>MAX(I5:I9)</f>
        <v/>
      </c>
      <c r="K10" s="16">
        <f>MAX(K5:K9)</f>
        <v/>
      </c>
    </row>
    <row r="11"/>
    <row r="12" ht="28" customHeight="1">
      <c r="A12" s="14" t="inlineStr">
        <is>
          <t>Under ~10% janky frames generally feels smooth. Highest jank: Learn + dish page; slowest worst-case frames: Puzzle board (fast typing with tile animations); most memory: Pantry (many ingredient pictures).</t>
        </is>
      </c>
    </row>
    <row r="13"/>
  </sheetData>
  <mergeCells count="1">
    <mergeCell ref="A12:K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40" customWidth="1" min="1" max="1"/>
    <col width="14" customWidth="1" min="2" max="2"/>
    <col width="18" customWidth="1" min="3" max="3"/>
  </cols>
  <sheetData>
    <row r="1">
      <c r="A1" s="1" t="inlineStr">
        <is>
          <t>Sustained play: five full loops through all five screens</t>
        </is>
      </c>
    </row>
    <row r="2">
      <c r="A2" s="2" t="inlineStr">
        <is>
          <t>Fixed build, clean run (one script only).</t>
        </is>
      </c>
    </row>
    <row r="3">
      <c r="A3" s="3" t="inlineStr">
        <is>
          <t>Frames drawn</t>
        </is>
      </c>
      <c r="B3" s="9" t="n">
        <v>57679</v>
      </c>
    </row>
    <row r="4">
      <c r="A4" s="3" t="inlineStr">
        <is>
          <t>Janky frames</t>
        </is>
      </c>
      <c r="B4" s="9" t="n">
        <v>1230</v>
      </c>
    </row>
    <row r="5">
      <c r="A5" s="3" t="inlineStr">
        <is>
          <t>Janky %</t>
        </is>
      </c>
      <c r="B5" s="17">
        <f>B4/B3</f>
        <v/>
      </c>
    </row>
    <row r="6">
      <c r="A6" s="3" t="inlineStr">
        <is>
          <t>Median frame (ms)</t>
        </is>
      </c>
      <c r="B6" s="13" t="n">
        <v>22</v>
      </c>
    </row>
    <row r="7">
      <c r="A7" s="3" t="inlineStr">
        <is>
          <t>90th percentile (ms)</t>
        </is>
      </c>
      <c r="B7" s="13" t="n">
        <v>30</v>
      </c>
    </row>
    <row r="8">
      <c r="A8" s="3" t="inlineStr">
        <is>
          <t>95th percentile (ms)</t>
        </is>
      </c>
      <c r="B8" s="13" t="n">
        <v>32</v>
      </c>
    </row>
    <row r="9">
      <c r="A9" s="3" t="inlineStr">
        <is>
          <t>99th percentile (ms)</t>
        </is>
      </c>
      <c r="B9" s="13" t="n">
        <v>48</v>
      </c>
    </row>
    <row r="11">
      <c r="A11" s="3" t="inlineStr">
        <is>
          <t>Crash / freeze reports during the run</t>
        </is>
      </c>
      <c r="B11" s="13" t="n">
        <v>0</v>
      </c>
    </row>
    <row r="13">
      <c r="A13" s="7" t="inlineStr">
        <is>
          <t>Loop</t>
        </is>
      </c>
      <c r="B13" s="7" t="inlineStr">
        <is>
          <t>Elapsed (s)</t>
        </is>
      </c>
      <c r="C13" s="7" t="inlineStr">
        <is>
          <t>Memory (PSS, MB)</t>
        </is>
      </c>
    </row>
    <row r="14">
      <c r="A14" s="8" t="inlineStr">
        <is>
          <t>Start</t>
        </is>
      </c>
      <c r="B14" s="13" t="n">
        <v>0</v>
      </c>
      <c r="C14" s="16">
        <f>173237/1024</f>
        <v/>
      </c>
    </row>
    <row r="15">
      <c r="A15" s="8" t="inlineStr">
        <is>
          <t>After loop 1</t>
        </is>
      </c>
      <c r="B15" s="13" t="n">
        <v>286</v>
      </c>
      <c r="C15" s="16">
        <f>192365/1024</f>
        <v/>
      </c>
    </row>
    <row r="16">
      <c r="A16" s="8" t="inlineStr">
        <is>
          <t>After loop 2</t>
        </is>
      </c>
      <c r="B16" s="13" t="n">
        <v>560</v>
      </c>
      <c r="C16" s="16">
        <f>198029/1024</f>
        <v/>
      </c>
    </row>
    <row r="17">
      <c r="A17" s="8" t="inlineStr">
        <is>
          <t>After loop 3</t>
        </is>
      </c>
      <c r="B17" s="13" t="n">
        <v>833</v>
      </c>
      <c r="C17" s="16">
        <f>196037/1024</f>
        <v/>
      </c>
    </row>
    <row r="18">
      <c r="A18" s="8" t="inlineStr">
        <is>
          <t>After loop 4</t>
        </is>
      </c>
      <c r="B18" s="13" t="n">
        <v>1099</v>
      </c>
      <c r="C18" s="16">
        <f>197042/1024</f>
        <v/>
      </c>
    </row>
    <row r="19">
      <c r="A19" s="8" t="inlineStr">
        <is>
          <t>After loop 5</t>
        </is>
      </c>
      <c r="B19" s="13" t="n">
        <v>1366</v>
      </c>
      <c r="C19" s="16">
        <f>194990/1024</f>
        <v/>
      </c>
    </row>
    <row r="21">
      <c r="A21" s="3" t="inlineStr">
        <is>
          <t>Memory trend</t>
        </is>
      </c>
      <c r="C21" s="18">
        <f>IF(MAX(C15:C19)-MIN(C15:C19)&lt;=15,"Flat (no leak)","Rising — check for a leak")</f>
        <v/>
      </c>
    </row>
    <row r="22">
      <c r="A22" s="3" t="inlineStr">
        <is>
          <t>Change from loop 1 to the last loop (MB)</t>
        </is>
      </c>
      <c r="C22" s="19">
        <f>C19-C15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5" customWidth="1" min="1" max="1"/>
    <col width="22" customWidth="1" min="2" max="2"/>
    <col width="14" customWidth="1" min="3" max="3"/>
    <col width="18" customWidth="1" min="4" max="4"/>
    <col width="34" customWidth="1" min="5" max="5"/>
    <col width="60" customWidth="1" min="6" max="6"/>
  </cols>
  <sheetData>
    <row r="1">
      <c r="A1" s="1" t="inlineStr">
        <is>
          <t>Startup freezes (Android 'isn't responding' reports)</t>
        </is>
      </c>
    </row>
    <row r="3">
      <c r="A3" s="7" t="inlineStr">
        <is>
          <t>#</t>
        </is>
      </c>
      <c r="B3" s="7" t="inlineStr">
        <is>
          <t>When</t>
        </is>
      </c>
      <c r="C3" s="7" t="inlineStr">
        <is>
          <t>Phone CPU busy</t>
        </is>
      </c>
      <c r="D3" s="7" t="inlineStr">
        <is>
          <t>System (kernel) share</t>
        </is>
      </c>
      <c r="E3" s="7" t="inlineStr">
        <is>
          <t>Android's reason</t>
        </is>
      </c>
      <c r="F3" s="7" t="inlineStr">
        <is>
          <t>Where the app was waiting</t>
        </is>
      </c>
    </row>
    <row r="4">
      <c r="A4" s="8" t="n">
        <v>1</v>
      </c>
      <c r="B4" s="13" t="inlineStr">
        <is>
          <t>2026-10-05 00:28:03.665</t>
        </is>
      </c>
      <c r="C4" s="13" t="inlineStr">
        <is>
          <t>96%</t>
        </is>
      </c>
      <c r="D4" s="13" t="inlineStr">
        <is>
          <t>76%</t>
        </is>
      </c>
      <c r="E4" s="20" t="inlineStr">
        <is>
          <t>Process failed to complete startup</t>
        </is>
      </c>
      <c r="F4" s="20" t="inlineStr">
        <is>
          <t>Main thread waiting for a saved-settings file to load: ReelCatalogStore.warm (line 46), called from KusinaKodeApp.onCreate</t>
        </is>
      </c>
    </row>
    <row r="5">
      <c r="A5" s="8" t="n">
        <v>2</v>
      </c>
      <c r="B5" s="13" t="inlineStr">
        <is>
          <t>2026-10-05 00:38:47.057</t>
        </is>
      </c>
      <c r="C5" s="13" t="inlineStr">
        <is>
          <t>97%</t>
        </is>
      </c>
      <c r="D5" s="13" t="inlineStr">
        <is>
          <t>74%</t>
        </is>
      </c>
      <c r="E5" s="20" t="inlineStr">
        <is>
          <t>Process failed to complete startup</t>
        </is>
      </c>
      <c r="F5" s="20" t="inlineStr">
        <is>
          <t>Main thread waiting for a saved-settings file to load: ReelCatalogStore.warm (line 46), called from KusinaKodeApp.onCreate</t>
        </is>
      </c>
    </row>
    <row r="7" ht="42" customHeight="1">
      <c r="A7" s="3" t="inlineStr">
        <is>
          <t>When</t>
        </is>
      </c>
      <c r="C7" s="4" t="inlineStr">
        <is>
          <t>Both right after the emulator booted, while the phone was still settling.</t>
        </is>
      </c>
    </row>
    <row r="8" ht="42" customHeight="1">
      <c r="A8" s="3" t="inlineStr">
        <is>
          <t>Likely cause</t>
        </is>
      </c>
      <c r="C8" s="4" t="inlineStr">
        <is>
          <t>A very busy phone, mostly the system itself (about 75% of CPU in the kernel), which points to memory being swapped to disk. The app's startup code was reading files on the main thread at that moment, so it could not draw its first screen.</t>
        </is>
      </c>
    </row>
    <row r="9" ht="42" customHeight="1">
      <c r="A9" s="3" t="inlineStr">
        <is>
          <t>Fix (1.26, not yet released)</t>
        </is>
      </c>
      <c r="C9" s="4" t="inlineStr">
        <is>
          <t>Reading the reel list, creating notification channels and scheduling play reminders now happen on a background thread, so the first screen does not wait for them.</t>
        </is>
      </c>
    </row>
    <row r="10" ht="42" customHeight="1">
      <c r="A10" s="3" t="inlineStr">
        <is>
          <t>Verification</t>
        </is>
      </c>
      <c r="C10" s="4" t="inlineStr">
        <is>
          <t>Unit tests pass. Notification channels confirmed. With the CPU maxed out, neither the old nor the fixed code froze, so the original freeze could not be recreated on demand; the fix removes the file reads Android caught, but it is not proven by this test.</t>
        </is>
      </c>
    </row>
    <row r="11" ht="42" customHeight="1">
      <c r="A11" s="3" t="inlineStr">
        <is>
          <t>During normal play</t>
        </is>
      </c>
      <c r="C11" s="4" t="inlineStr">
        <is>
          <t>No freezes or crashes in the sustained run.</t>
        </is>
      </c>
    </row>
  </sheetData>
  <mergeCells count="10">
    <mergeCell ref="C9:F9"/>
    <mergeCell ref="A7:B7"/>
    <mergeCell ref="C8:F8"/>
    <mergeCell ref="A11:B11"/>
    <mergeCell ref="A10:B10"/>
    <mergeCell ref="C7:F7"/>
    <mergeCell ref="C11:F11"/>
    <mergeCell ref="A9:B9"/>
    <mergeCell ref="A8:B8"/>
    <mergeCell ref="C10:F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9"/>
  <sheetViews>
    <sheetView showGridLines="0" workbookViewId="0">
      <selection activeCell="A1" sqref="A1"/>
    </sheetView>
  </sheetViews>
  <sheetFormatPr baseColWidth="8" defaultRowHeight="15"/>
  <cols>
    <col width="15" customWidth="1" min="1" max="1"/>
    <col width="10" customWidth="1" min="2" max="2"/>
    <col width="12" customWidth="1" min="3" max="3"/>
    <col width="8" customWidth="1" min="4" max="4"/>
    <col width="10" customWidth="1" min="5" max="5"/>
    <col width="11" customWidth="1" min="6" max="6"/>
    <col width="10" customWidth="1" min="7" max="7"/>
    <col width="11" customWidth="1" min="8" max="8"/>
    <col width="11" customWidth="1" min="9" max="9"/>
    <col width="11" customWidth="1" min="10" max="10"/>
    <col width="11" customWidth="1" min="11" max="11"/>
  </cols>
  <sheetData>
    <row r="1">
      <c r="A1" s="1" t="inlineStr">
        <is>
          <t>Server load test (read-only, live API)</t>
        </is>
      </c>
    </row>
    <row r="2">
      <c r="A2" s="2" t="inlineStr">
        <is>
          <t>2026-10-05T01:56:28+00:00 to 2026-10-05T02:01:15+00:00 UTC. Simulated players fetch levels, leaderboard, ingredients, equipment and reels. Nothing written. Auto-stop at &gt;5% errors or p95 &gt; 10 s.</t>
        </is>
      </c>
    </row>
    <row r="4">
      <c r="A4" s="7" t="inlineStr">
        <is>
          <t>Players at once</t>
        </is>
      </c>
      <c r="B4" s="7" t="inlineStr">
        <is>
          <t>Requests</t>
        </is>
      </c>
      <c r="C4" s="7" t="inlineStr">
        <is>
          <t>Requests / s</t>
        </is>
      </c>
      <c r="D4" s="7" t="inlineStr">
        <is>
          <t>Errors</t>
        </is>
      </c>
      <c r="E4" s="7" t="inlineStr">
        <is>
          <t>Error rate</t>
        </is>
      </c>
      <c r="F4" s="7" t="inlineStr">
        <is>
          <t>Average (s)</t>
        </is>
      </c>
      <c r="G4" s="7" t="inlineStr">
        <is>
          <t>Median (s)</t>
        </is>
      </c>
      <c r="H4" s="7" t="inlineStr">
        <is>
          <t>90th pct (s)</t>
        </is>
      </c>
      <c r="I4" s="7" t="inlineStr">
        <is>
          <t>95th pct (s)</t>
        </is>
      </c>
      <c r="J4" s="7" t="inlineStr">
        <is>
          <t>99th pct (s)</t>
        </is>
      </c>
      <c r="K4" s="7" t="inlineStr">
        <is>
          <t>Slowest (s)</t>
        </is>
      </c>
    </row>
    <row r="5">
      <c r="A5" s="31" t="n">
        <v>5</v>
      </c>
      <c r="B5" s="28" t="n">
        <v>237</v>
      </c>
      <c r="C5" s="39">
        <f>B5/60</f>
        <v/>
      </c>
      <c r="D5" s="31" t="n">
        <v>0</v>
      </c>
      <c r="E5" s="32">
        <f>D5/B5</f>
        <v/>
      </c>
      <c r="F5" s="40" t="n">
        <v>0.254</v>
      </c>
      <c r="G5" s="40" t="n">
        <v>0.247</v>
      </c>
      <c r="H5" s="40" t="n">
        <v>0.331</v>
      </c>
      <c r="I5" s="40" t="n">
        <v>0.368</v>
      </c>
      <c r="J5" s="40" t="n">
        <v>0.392</v>
      </c>
      <c r="K5" s="40" t="n">
        <v>0.442</v>
      </c>
    </row>
    <row r="6">
      <c r="A6" s="31" t="n">
        <v>10</v>
      </c>
      <c r="B6" s="28" t="n">
        <v>459</v>
      </c>
      <c r="C6" s="39">
        <f>B6/60</f>
        <v/>
      </c>
      <c r="D6" s="31" t="n">
        <v>0</v>
      </c>
      <c r="E6" s="32">
        <f>D6/B6</f>
        <v/>
      </c>
      <c r="F6" s="40" t="n">
        <v>0.314</v>
      </c>
      <c r="G6" s="40" t="n">
        <v>0.275</v>
      </c>
      <c r="H6" s="40" t="n">
        <v>0.423</v>
      </c>
      <c r="I6" s="40" t="n">
        <v>0.483</v>
      </c>
      <c r="J6" s="40" t="n">
        <v>0.618</v>
      </c>
      <c r="K6" s="40" t="n">
        <v>5.385</v>
      </c>
    </row>
    <row r="7">
      <c r="A7" s="31" t="n">
        <v>20</v>
      </c>
      <c r="B7" s="28" t="n">
        <v>747</v>
      </c>
      <c r="C7" s="39">
        <f>B7/60</f>
        <v/>
      </c>
      <c r="D7" s="31" t="n">
        <v>0</v>
      </c>
      <c r="E7" s="32">
        <f>D7/B7</f>
        <v/>
      </c>
      <c r="F7" s="40" t="n">
        <v>0.5600000000000001</v>
      </c>
      <c r="G7" s="40" t="n">
        <v>0.448</v>
      </c>
      <c r="H7" s="40" t="n">
        <v>0.954</v>
      </c>
      <c r="I7" s="40" t="n">
        <v>1.21</v>
      </c>
      <c r="J7" s="40" t="n">
        <v>1.758</v>
      </c>
      <c r="K7" s="40" t="n">
        <v>5.863</v>
      </c>
    </row>
    <row r="8">
      <c r="A8" s="31" t="n">
        <v>40</v>
      </c>
      <c r="B8" s="28" t="n">
        <v>873</v>
      </c>
      <c r="C8" s="39">
        <f>B8/60</f>
        <v/>
      </c>
      <c r="D8" s="31" t="n">
        <v>0</v>
      </c>
      <c r="E8" s="32">
        <f>D8/B8</f>
        <v/>
      </c>
      <c r="F8" s="40" t="n">
        <v>1.6</v>
      </c>
      <c r="G8" s="40" t="n">
        <v>1.48</v>
      </c>
      <c r="H8" s="40" t="n">
        <v>2.716</v>
      </c>
      <c r="I8" s="40" t="n">
        <v>3.128</v>
      </c>
      <c r="J8" s="40" t="n">
        <v>4.257</v>
      </c>
      <c r="K8" s="40" t="n">
        <v>7.372</v>
      </c>
    </row>
    <row r="9">
      <c r="A9" s="29" t="inlineStr">
        <is>
          <t>Total</t>
        </is>
      </c>
      <c r="B9" s="30">
        <f>SUM(B5:B8)</f>
        <v/>
      </c>
      <c r="D9" s="27">
        <f>SUM(D5:D8)</f>
        <v/>
      </c>
      <c r="E9" s="32">
        <f>D9/B9</f>
        <v/>
      </c>
    </row>
    <row r="11">
      <c r="A11" s="5" t="inlineStr">
        <is>
          <t>Per endpoint at 40 players</t>
        </is>
      </c>
    </row>
    <row r="12">
      <c r="A12" s="7" t="inlineStr">
        <is>
          <t>Endpoint</t>
        </is>
      </c>
      <c r="B12" s="7" t="inlineStr">
        <is>
          <t>Requests</t>
        </is>
      </c>
      <c r="C12" s="7" t="inlineStr">
        <is>
          <t>Average (s)</t>
        </is>
      </c>
      <c r="D12" s="7" t="inlineStr">
        <is>
          <t>95th pct (s)</t>
        </is>
      </c>
      <c r="E12" s="7" t="inlineStr">
        <is>
          <t>Errors</t>
        </is>
      </c>
    </row>
    <row r="13">
      <c r="A13" s="27" t="inlineStr">
        <is>
          <t>get_levels.php</t>
        </is>
      </c>
      <c r="B13" s="31" t="n">
        <v>295</v>
      </c>
      <c r="C13" s="40" t="n">
        <v>1.548</v>
      </c>
      <c r="D13" s="40" t="n">
        <v>2.716</v>
      </c>
      <c r="E13" s="31" t="n">
        <v>0</v>
      </c>
    </row>
    <row r="14">
      <c r="A14" s="27" t="inlineStr">
        <is>
          <t>get_leaderboard.php</t>
        </is>
      </c>
      <c r="B14" s="31" t="n">
        <v>203</v>
      </c>
      <c r="C14" s="40" t="n">
        <v>2.05</v>
      </c>
      <c r="D14" s="40" t="n">
        <v>3.883</v>
      </c>
      <c r="E14" s="31" t="n">
        <v>0</v>
      </c>
    </row>
    <row r="15">
      <c r="A15" s="27" t="inlineStr">
        <is>
          <t>get_ingredients.php</t>
        </is>
      </c>
      <c r="B15" s="31" t="n">
        <v>188</v>
      </c>
      <c r="C15" s="40" t="n">
        <v>1.197</v>
      </c>
      <c r="D15" s="40" t="n">
        <v>1.965</v>
      </c>
      <c r="E15" s="31" t="n">
        <v>0</v>
      </c>
    </row>
    <row r="16">
      <c r="A16" s="27" t="inlineStr">
        <is>
          <t>get_equipment.php</t>
        </is>
      </c>
      <c r="B16" s="31" t="n">
        <v>97</v>
      </c>
      <c r="C16" s="40" t="n">
        <v>1.32</v>
      </c>
      <c r="D16" s="40" t="n">
        <v>2.272</v>
      </c>
      <c r="E16" s="31" t="n">
        <v>0</v>
      </c>
    </row>
    <row r="17">
      <c r="A17" s="27" t="inlineStr">
        <is>
          <t>reels/list.php</t>
        </is>
      </c>
      <c r="B17" s="31" t="n">
        <v>90</v>
      </c>
      <c r="C17" s="40" t="n">
        <v>1.902</v>
      </c>
      <c r="D17" s="40" t="n">
        <v>3.509</v>
      </c>
      <c r="E17" s="31" t="n">
        <v>0</v>
      </c>
    </row>
    <row r="19" ht="46" customHeight="1">
      <c r="A19" s="14" t="inlineStr">
        <is>
          <t>No errors at any stage. Response time grew from ~0.25 s (5 players) to ~1.6 s average (40 players), and throughput levelled off near 15 requests/s: the system was saturating. Azure metrics (next sheet) place the limit in the database. Separately, the first request after the server sat idle took 5.4 s (wake-up), then ~0.23 s.</t>
        </is>
      </c>
    </row>
  </sheetData>
  <mergeCells count="1">
    <mergeCell ref="A19:K1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5"/>
  <cols>
    <col width="13" customWidth="1" min="1" max="1"/>
    <col width="22" customWidth="1" min="2" max="2"/>
    <col width="13" customWidth="1" min="3" max="3"/>
    <col width="13" customWidth="1" min="4" max="4"/>
    <col width="17" customWidth="1" min="5" max="5"/>
    <col width="17" customWidth="1" min="6" max="6"/>
    <col width="17" customWidth="1" min="7" max="7"/>
  </cols>
  <sheetData>
    <row r="1">
      <c r="A1" s="1" t="inlineStr">
        <is>
          <t>Azure metrics during the server load test</t>
        </is>
      </c>
    </row>
    <row r="2">
      <c r="A2" s="2" t="inlineStr">
        <is>
          <t>Per minute, from Azure Monitor. VM = vm-kusinakode-api; database = sql-kusinakode/kusinakode (Basic tier).</t>
        </is>
      </c>
    </row>
    <row r="4">
      <c r="A4" s="7" t="inlineStr">
        <is>
          <t>Minute (UTC)</t>
        </is>
      </c>
      <c r="B4" s="7" t="inlineStr">
        <is>
          <t>Test stage</t>
        </is>
      </c>
      <c r="C4" s="7" t="inlineStr">
        <is>
          <t>VM CPU avg %</t>
        </is>
      </c>
      <c r="D4" s="7" t="inlineStr">
        <is>
          <t>VM CPU max %</t>
        </is>
      </c>
      <c r="E4" s="7" t="inlineStr">
        <is>
          <t>VM free memory (MB)</t>
        </is>
      </c>
      <c r="F4" s="7" t="inlineStr">
        <is>
          <t>DB load avg % (DTU)</t>
        </is>
      </c>
      <c r="G4" s="7" t="inlineStr">
        <is>
          <t>DB load max % (DTU)</t>
        </is>
      </c>
    </row>
    <row r="5">
      <c r="A5" s="27" t="inlineStr">
        <is>
          <t>01:56</t>
        </is>
      </c>
      <c r="B5" s="27" t="inlineStr">
        <is>
          <t>idle</t>
        </is>
      </c>
      <c r="C5" s="31" t="n">
        <v>0.1</v>
      </c>
      <c r="D5" s="31" t="n">
        <v>0.1</v>
      </c>
      <c r="E5" s="33">
        <f>446693376.0/1048576</f>
        <v/>
      </c>
      <c r="F5" s="31" t="n">
        <v>0</v>
      </c>
      <c r="G5" s="31" t="n">
        <v>0</v>
      </c>
    </row>
    <row r="6">
      <c r="A6" s="27" t="inlineStr">
        <is>
          <t>01:57</t>
        </is>
      </c>
      <c r="B6" s="27" t="inlineStr">
        <is>
          <t>warm-up / 5 players</t>
        </is>
      </c>
      <c r="C6" s="31" t="n">
        <v>1</v>
      </c>
      <c r="D6" s="31" t="n">
        <v>1.5</v>
      </c>
      <c r="E6" s="33">
        <f>446169088.0/1048576</f>
        <v/>
      </c>
      <c r="F6" s="31" t="n">
        <v>7.2</v>
      </c>
      <c r="G6" s="31" t="n">
        <v>20</v>
      </c>
    </row>
    <row r="7">
      <c r="A7" s="27" t="inlineStr">
        <is>
          <t>01:58</t>
        </is>
      </c>
      <c r="B7" s="27" t="inlineStr">
        <is>
          <t>10 players</t>
        </is>
      </c>
      <c r="C7" s="31" t="n">
        <v>3.2</v>
      </c>
      <c r="D7" s="31" t="n">
        <v>3.6</v>
      </c>
      <c r="E7" s="33">
        <f>447217664.0/1048576</f>
        <v/>
      </c>
      <c r="F7" s="31" t="n">
        <v>16.8</v>
      </c>
      <c r="G7" s="31" t="n">
        <v>28</v>
      </c>
    </row>
    <row r="8">
      <c r="A8" s="27" t="inlineStr">
        <is>
          <t>01:59</t>
        </is>
      </c>
      <c r="B8" s="27" t="inlineStr">
        <is>
          <t>20 players</t>
        </is>
      </c>
      <c r="C8" s="31" t="n">
        <v>6.9</v>
      </c>
      <c r="D8" s="31" t="n">
        <v>7.3</v>
      </c>
      <c r="E8" s="33">
        <f>445120512.0/1048576</f>
        <v/>
      </c>
      <c r="F8" s="31" t="n">
        <v>29.5</v>
      </c>
      <c r="G8" s="31" t="n">
        <v>44</v>
      </c>
    </row>
    <row r="9">
      <c r="A9" s="27" t="inlineStr">
        <is>
          <t>02:00</t>
        </is>
      </c>
      <c r="B9" s="27" t="inlineStr">
        <is>
          <t>40 players</t>
        </is>
      </c>
      <c r="C9" s="31" t="n">
        <v>9.699999999999999</v>
      </c>
      <c r="D9" s="31" t="n">
        <v>11.8</v>
      </c>
      <c r="E9" s="33">
        <f>441450496.0/1048576</f>
        <v/>
      </c>
      <c r="F9" s="31" t="n">
        <v>57.8</v>
      </c>
      <c r="G9" s="31" t="n">
        <v>63</v>
      </c>
    </row>
    <row r="10">
      <c r="A10" s="34" t="inlineStr">
        <is>
          <t>02:01</t>
        </is>
      </c>
      <c r="B10" s="34" t="inlineStr">
        <is>
          <t>40 players (end)</t>
        </is>
      </c>
      <c r="C10" s="35" t="inlineStr">
        <is>
          <t>n/a</t>
        </is>
      </c>
      <c r="D10" s="35" t="inlineStr">
        <is>
          <t>n/a</t>
        </is>
      </c>
      <c r="E10" s="41" t="inlineStr">
        <is>
          <t>n/a</t>
        </is>
      </c>
      <c r="F10" s="35" t="n">
        <v>68</v>
      </c>
      <c r="G10" s="35" t="n">
        <v>91</v>
      </c>
    </row>
    <row r="11">
      <c r="A11" s="29" t="inlineStr">
        <is>
          <t>Peak</t>
        </is>
      </c>
      <c r="D11" s="33">
        <f>MAX(D5:D10)</f>
        <v/>
      </c>
      <c r="G11" s="33">
        <f>MAX(G5:G10)</f>
        <v/>
      </c>
    </row>
    <row r="13" ht="58" customHeight="1">
      <c r="A13" s="14" t="inlineStr">
        <is>
          <t>The API server's CPU stayed at or under ~12% while the Basic-tier database reached 91% at 40 players. The database is the bottleneck; past roughly 50 simultaneous players it would queue requests. Raising the database tier (e.g. Basic to Standard S1) is a setting in the Azure portal. VM minutes after 02:00 had not been published yet when collected.</t>
        </is>
      </c>
    </row>
  </sheetData>
  <mergeCells count="1">
    <mergeCell ref="A13:G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2026-10-05T02:46:05Z</dcterms:created>
  <dcterms:modified xmlns:dcterms="http://purl.org/dc/terms/" xmlns:xsi="http://www.w3.org/2001/XMLSchema-instance" xsi:type="dcterms:W3CDTF">2026-10-05T02:46:06Z</dcterms:modified>
</cp:coreProperties>
</file>