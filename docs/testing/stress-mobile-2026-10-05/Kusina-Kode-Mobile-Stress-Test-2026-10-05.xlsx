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rtup" sheetId="2" state="visible" r:id="rId2"/>
    <sheet xmlns:r="http://schemas.openxmlformats.org/officeDocument/2006/relationships" name="Per screen" sheetId="3" state="visible" r:id="rId3"/>
    <sheet xmlns:r="http://schemas.openxmlformats.org/officeDocument/2006/relationships" name="Sustained" sheetId="4" state="visible" r:id="rId4"/>
    <sheet xmlns:r="http://schemas.openxmlformats.org/officeDocument/2006/relationships" name="Startup freeze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Arial"/>
      <b val="1"/>
      <color rgb="006F3913"/>
      <sz val="15"/>
    </font>
    <font>
      <name val="Arial"/>
      <i val="1"/>
      <color rgb="00555555"/>
      <sz val="10"/>
    </font>
    <font>
      <name val="Arial"/>
      <b val="1"/>
      <sz val="10"/>
    </font>
    <font>
      <name val="Arial"/>
      <sz val="10"/>
    </font>
    <font>
      <name val="Arial"/>
      <b val="1"/>
      <color rgb="006F3913"/>
      <sz val="11"/>
    </font>
    <font>
      <name val="Arial"/>
      <color rgb="00000000"/>
      <sz val="10"/>
    </font>
    <font>
      <name val="Arial"/>
      <b val="1"/>
      <color rgb="00FFFFFF"/>
    </font>
    <font>
      <name val="Arial"/>
      <color rgb="000000FF"/>
      <sz val="10"/>
    </font>
    <font>
      <name val="Arial"/>
      <b val="1"/>
      <color rgb="00000000"/>
      <sz val="10"/>
    </font>
    <font>
      <name val="Arial"/>
      <i val="1"/>
      <sz val="10"/>
    </font>
  </fonts>
  <fills count="3">
    <fill>
      <patternFill/>
    </fill>
    <fill>
      <patternFill patternType="gray125"/>
    </fill>
    <fill>
      <patternFill patternType="solid">
        <fgColor rgb="006F3913"/>
      </patternFill>
    </fill>
  </fills>
  <borders count="2">
    <border>
      <left/>
      <right/>
      <top/>
      <bottom/>
      <diagonal/>
    </border>
    <border>
      <left style="thin">
        <color rgb="00D9C9A8"/>
      </left>
      <right style="thin">
        <color rgb="00D9C9A8"/>
      </right>
      <top style="thin">
        <color rgb="00D9C9A8"/>
      </top>
      <bottom style="thin">
        <color rgb="00D9C9A8"/>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vertical="center" wrapText="1"/>
    </xf>
    <xf numFmtId="0" fontId="6" fillId="0" borderId="1" applyAlignment="1" pivotButton="0" quotePrefix="0" xfId="0">
      <alignment vertical="top"/>
    </xf>
    <xf numFmtId="3" fontId="8" fillId="0" borderId="1" applyAlignment="1" pivotButton="0" quotePrefix="0" xfId="0">
      <alignment vertical="top"/>
    </xf>
    <xf numFmtId="0" fontId="9" fillId="0" borderId="1" applyAlignment="1" pivotButton="0" quotePrefix="0" xfId="0">
      <alignment vertical="top"/>
    </xf>
    <xf numFmtId="3" fontId="6" fillId="0" borderId="1" applyAlignment="1" pivotButton="0" quotePrefix="0" xfId="0">
      <alignment vertical="top"/>
    </xf>
    <xf numFmtId="0" fontId="9" fillId="0" borderId="1" applyAlignment="1" pivotButton="0" quotePrefix="0" xfId="0">
      <alignment vertical="top" wrapText="1"/>
    </xf>
    <xf numFmtId="0" fontId="8" fillId="0" borderId="1" applyAlignment="1" pivotButton="0" quotePrefix="0" xfId="0">
      <alignment vertical="top"/>
    </xf>
    <xf numFmtId="0" fontId="10" fillId="0" borderId="0" applyAlignment="1" pivotButton="0" quotePrefix="0" xfId="0">
      <alignment vertical="top" wrapText="1"/>
    </xf>
    <xf numFmtId="164" fontId="6" fillId="0" borderId="1" applyAlignment="1" pivotButton="0" quotePrefix="0" xfId="0">
      <alignment vertical="top"/>
    </xf>
    <xf numFmtId="1" fontId="6" fillId="0" borderId="1" applyAlignment="1" pivotButton="0" quotePrefix="0" xfId="0">
      <alignment vertical="top"/>
    </xf>
    <xf numFmtId="10" fontId="6" fillId="0" borderId="1" applyAlignment="1" pivotButton="0" quotePrefix="0" xfId="0">
      <alignment vertical="top"/>
    </xf>
    <xf numFmtId="0" fontId="6" fillId="0" borderId="1" applyAlignment="1" pivotButton="0" quotePrefix="0" xfId="0">
      <alignment vertical="top" wrapText="1"/>
    </xf>
    <xf numFmtId="165" fontId="6" fillId="0" borderId="1" applyAlignment="1" pivotButton="0" quotePrefix="0" xfId="0">
      <alignment vertical="top"/>
    </xf>
    <xf numFmtId="0" fontId="8" fillId="0" borderId="1" applyAlignment="1" pivotButton="0" quotePrefix="0" xfId="0">
      <alignment vertical="top" wrapText="1"/>
    </xf>
    <xf numFmtId="10" fontId="6"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34" customWidth="1" min="1" max="1"/>
    <col width="100" customWidth="1" min="2" max="2"/>
  </cols>
  <sheetData>
    <row r="1">
      <c r="A1" s="1" t="inlineStr">
        <is>
          <t>Kusina Kode — Mobile Stress Test</t>
        </is>
      </c>
    </row>
    <row r="2">
      <c r="A2" s="2" t="inlineStr">
        <is>
          <t>Run 5 Oct 2026 on an Android emulator. Blue = measured value, black = formula.</t>
        </is>
      </c>
    </row>
    <row r="4">
      <c r="A4" s="3" t="inlineStr">
        <is>
          <t>Device</t>
        </is>
      </c>
      <c r="B4" s="4" t="inlineStr">
        <is>
          <t>Android emulator 'Medium Phone', Android 16 (API 36), 1080 × 2400, 2 GB RAM (low-end profile)</t>
        </is>
      </c>
    </row>
    <row r="5">
      <c r="A5" s="3" t="inlineStr">
        <is>
          <t>App build</t>
        </is>
      </c>
      <c r="B5" s="4" t="inlineStr">
        <is>
          <t>Kusina Kode 1.25 debug build (slower than the release APK players install)</t>
        </is>
      </c>
    </row>
    <row r="6">
      <c r="A6" s="3" t="inlineStr">
        <is>
          <t>Account</t>
        </is>
      </c>
      <c r="B6" s="4" t="inlineStr">
        <is>
          <t>Test player account (Chef nick), logged in</t>
        </is>
      </c>
    </row>
    <row r="7">
      <c r="A7" s="3" t="inlineStr">
        <is>
          <t>Server impact</t>
        </is>
      </c>
      <c r="B7" s="4" t="inlineStr">
        <is>
          <t>None. Read-only scenario: navigation, scrolling, typing and erasing letters. No guess was submitted; no purchase, spin or sign-up.</t>
        </is>
      </c>
    </row>
    <row r="8">
      <c r="A8" s="3" t="inlineStr">
        <is>
          <t>Tools</t>
        </is>
      </c>
      <c r="B8" s="4" t="inlineStr">
        <is>
          <t>Android dumpsys gfxinfo (frames), dumpsys meminfo (memory), am start -W (startup), dropbox ANR reports</t>
        </is>
      </c>
    </row>
    <row r="9">
      <c r="A9" s="3" t="inlineStr">
        <is>
          <t>Scenario</t>
        </is>
      </c>
      <c r="B9" s="4" t="inlineStr">
        <is>
          <t>Five screens (Home, Game Map, Learn + dish page, Pantry, Puzzle board), each measured on its own; then five full loops through all of them.</t>
        </is>
      </c>
    </row>
    <row r="10">
      <c r="A10" s="3" t="inlineStr"/>
      <c r="B10" s="4" t="inlineStr"/>
    </row>
    <row r="11">
      <c r="A11" s="5" t="inlineStr">
        <is>
          <t>Key results</t>
        </is>
      </c>
      <c r="B11" s="4" t="inlineStr"/>
    </row>
    <row r="12">
      <c r="A12" s="3" t="inlineStr">
        <is>
          <t>Cold start (quiet phone)</t>
        </is>
      </c>
      <c r="B12" s="6">
        <f>'Startup'!C12</f>
        <v/>
      </c>
    </row>
    <row r="13">
      <c r="A13" s="3" t="inlineStr">
        <is>
          <t>Warm start</t>
        </is>
      </c>
      <c r="B13" s="6">
        <f>'Startup'!C13</f>
        <v/>
      </c>
    </row>
    <row r="14">
      <c r="A14" s="3" t="inlineStr">
        <is>
          <t>Janky frames, sustained run</t>
        </is>
      </c>
      <c r="B14" s="21">
        <f>'Sustained'!B5</f>
        <v/>
      </c>
    </row>
    <row r="15">
      <c r="A15" s="3" t="inlineStr">
        <is>
          <t>Memory trend over the sustained run</t>
        </is>
      </c>
      <c r="B15" s="6">
        <f>'Sustained'!C21</f>
        <v/>
      </c>
    </row>
    <row r="16">
      <c r="A16" s="3" t="inlineStr">
        <is>
          <t>Crashes / freezes during play</t>
        </is>
      </c>
      <c r="B16" s="6">
        <f>'Sustained'!B11</f>
        <v/>
      </c>
    </row>
    <row r="17">
      <c r="A17" s="3" t="inlineStr">
        <is>
          <t>Startup freezes found</t>
        </is>
      </c>
      <c r="B17" s="4" t="inlineStr">
        <is>
          <t>2 (both right after the emulator booted) — see 'Startup freezes'</t>
        </is>
      </c>
    </row>
    <row r="18">
      <c r="A18" s="3" t="inlineStr"/>
      <c r="B18" s="4" t="inlineStr"/>
    </row>
    <row r="19">
      <c r="A19" s="3" t="inlineStr">
        <is>
          <t>Limitations</t>
        </is>
      </c>
      <c r="B19" s="4" t="inlineStr">
        <is>
          <t>Emulator + debug build give worst-case numbers. Frame medians of 17–24 ms are typical of emulators and do not mean real phones run below 60 fps. A run on a real Android phone with the release APK gives definitive figures.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1" t="inlineStr">
        <is>
          <t>App startup time (ms)</t>
        </is>
      </c>
    </row>
    <row r="2">
      <c r="A2" s="2" t="inlineStr">
        <is>
          <t>am start -W TotalTime. Cold = app fully closed. Warm = brought back from the background.</t>
        </is>
      </c>
    </row>
    <row r="4">
      <c r="A4" s="7" t="inlineStr">
        <is>
          <t>Run</t>
        </is>
      </c>
      <c r="B4" s="7" t="inlineStr">
        <is>
          <t>Cold — before fix</t>
        </is>
      </c>
      <c r="C4" s="7" t="inlineStr">
        <is>
          <t>Cold — after fix</t>
        </is>
      </c>
      <c r="D4" s="7" t="inlineStr">
        <is>
          <t>Warm — before fix</t>
        </is>
      </c>
      <c r="E4" s="7" t="inlineStr">
        <is>
          <t>Warm — after fix</t>
        </is>
      </c>
    </row>
    <row r="5">
      <c r="A5" s="8" t="inlineStr">
        <is>
          <t>Run 1</t>
        </is>
      </c>
      <c r="B5" s="9" t="n">
        <v>2824</v>
      </c>
      <c r="C5" s="9" t="n">
        <v>3089</v>
      </c>
      <c r="D5" s="9" t="n">
        <v>127</v>
      </c>
      <c r="E5" s="9" t="n">
        <v>152</v>
      </c>
    </row>
    <row r="6">
      <c r="A6" s="8" t="inlineStr">
        <is>
          <t>Run 2</t>
        </is>
      </c>
      <c r="B6" s="9" t="n">
        <v>2609</v>
      </c>
      <c r="C6" s="9" t="n">
        <v>2463</v>
      </c>
      <c r="D6" s="9" t="n">
        <v>146</v>
      </c>
      <c r="E6" s="9" t="n">
        <v>142</v>
      </c>
    </row>
    <row r="7">
      <c r="A7" s="8" t="inlineStr">
        <is>
          <t>Run 3</t>
        </is>
      </c>
      <c r="B7" s="9" t="n">
        <v>2516</v>
      </c>
      <c r="C7" s="9" t="n">
        <v>2439</v>
      </c>
      <c r="D7" s="9" t="n">
        <v>170</v>
      </c>
      <c r="E7" s="9" t="n">
        <v>139</v>
      </c>
    </row>
    <row r="8">
      <c r="A8" s="8" t="inlineStr">
        <is>
          <t>Run 4</t>
        </is>
      </c>
      <c r="B8" s="9" t="n">
        <v>2389</v>
      </c>
      <c r="C8" s="9" t="n">
        <v>2671</v>
      </c>
      <c r="D8" s="9" t="n">
        <v>160</v>
      </c>
      <c r="E8" s="9" t="n">
        <v>165</v>
      </c>
    </row>
    <row r="9">
      <c r="A9" s="8" t="inlineStr">
        <is>
          <t>Run 5</t>
        </is>
      </c>
      <c r="B9" s="9" t="n">
        <v>2801</v>
      </c>
      <c r="C9" s="9" t="n">
        <v>2439</v>
      </c>
      <c r="D9" s="9" t="n">
        <v>84</v>
      </c>
      <c r="E9" s="9" t="n">
        <v>150</v>
      </c>
    </row>
    <row r="10">
      <c r="A10" s="10" t="inlineStr">
        <is>
          <t>Average</t>
        </is>
      </c>
      <c r="B10" s="11">
        <f>AVERAGE(B5:B9)</f>
        <v/>
      </c>
      <c r="C10" s="11">
        <f>AVERAGE(C5:C9)</f>
        <v/>
      </c>
      <c r="D10" s="11">
        <f>AVERAGE(D5:D9)</f>
        <v/>
      </c>
      <c r="E10" s="11">
        <f>AVERAGE(E5:E9)</f>
        <v/>
      </c>
    </row>
    <row r="11">
      <c r="A11" s="10" t="inlineStr">
        <is>
          <t>Fastest</t>
        </is>
      </c>
      <c r="B11" s="11">
        <f>MIN(B5:B9)</f>
        <v/>
      </c>
      <c r="C11" s="11">
        <f>MIN(C5:C9)</f>
        <v/>
      </c>
      <c r="D11" s="11">
        <f>MIN(D5:D9)</f>
        <v/>
      </c>
      <c r="E11" s="11">
        <f>MIN(E5:E9)</f>
        <v/>
      </c>
    </row>
    <row r="12">
      <c r="A12" s="10" t="inlineStr">
        <is>
          <t>Cold start, after fix (avg)</t>
        </is>
      </c>
      <c r="B12" s="11">
        <f>MAX(B5:B9)</f>
        <v/>
      </c>
      <c r="C12" s="11">
        <f>TEXT(C10/1000,"0.0")&amp;" s"</f>
        <v/>
      </c>
      <c r="D12" s="11">
        <f>MAX(D5:D9)</f>
        <v/>
      </c>
      <c r="E12" s="11">
        <f>MAX(E5:E9)</f>
        <v/>
      </c>
    </row>
    <row r="13">
      <c r="A13" s="10" t="inlineStr">
        <is>
          <t>Warm start, after fix (avg)</t>
        </is>
      </c>
      <c r="C13" s="8">
        <f>TEXT(E10/1000,"0.00")&amp;" s"</f>
        <v/>
      </c>
    </row>
    <row r="16">
      <c r="A16" s="5" t="inlineStr">
        <is>
          <t>Cold start with the CPU maxed out (six busy loops inside the emulator)</t>
        </is>
      </c>
    </row>
    <row r="17">
      <c r="A17" s="7" t="inlineStr">
        <is>
          <t>Run</t>
        </is>
      </c>
      <c r="B17" s="7" t="inlineStr">
        <is>
          <t>Old startup code</t>
        </is>
      </c>
      <c r="C17" s="7" t="inlineStr">
        <is>
          <t>Fixed startup code</t>
        </is>
      </c>
    </row>
    <row r="18">
      <c r="A18" s="8" t="inlineStr">
        <is>
          <t>Run 1</t>
        </is>
      </c>
      <c r="B18" s="9" t="n">
        <v>5931</v>
      </c>
      <c r="C18" s="9" t="n">
        <v>7611</v>
      </c>
    </row>
    <row r="19">
      <c r="A19" s="8" t="inlineStr">
        <is>
          <t>Run 2</t>
        </is>
      </c>
      <c r="B19" s="9" t="n">
        <v>6086</v>
      </c>
      <c r="C19" s="9" t="n">
        <v>5928</v>
      </c>
    </row>
    <row r="20">
      <c r="A20" s="8" t="inlineStr">
        <is>
          <t>Run 3</t>
        </is>
      </c>
      <c r="B20" s="9" t="n">
        <v>6482</v>
      </c>
      <c r="C20" s="9" t="n">
        <v>6183</v>
      </c>
    </row>
    <row r="21">
      <c r="A21" s="10" t="inlineStr">
        <is>
          <t>Average</t>
        </is>
      </c>
      <c r="B21" s="11">
        <f>AVERAGE(B18:B20)</f>
        <v/>
      </c>
      <c r="C21" s="11">
        <f>AVERAGE(C18:C20)</f>
        <v/>
      </c>
    </row>
    <row r="22">
      <c r="A22" s="12" t="inlineStr">
        <is>
          <t>Freezes (ANR) during these runs</t>
        </is>
      </c>
      <c r="B22" s="13" t="n">
        <v>0</v>
      </c>
      <c r="C22" s="13" t="n">
        <v>0</v>
      </c>
    </row>
    <row r="24" ht="30" customHeight="1">
      <c r="A24" s="14" t="inlineStr">
        <is>
          <t>Reading: on a quiet phone startup is unchanged by the fix (the noise between runs is larger than any difference). Maxing out the CPU did not reproduce the freeze in either version, so this test cannot prove the fix prevents it; see 'Startup freezes'.</t>
        </is>
      </c>
    </row>
    <row r="25"/>
  </sheetData>
  <mergeCells count="1">
    <mergeCell ref="A24:E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20" customWidth="1" min="1" max="1"/>
    <col width="9" customWidth="1" min="2" max="2"/>
    <col width="9" customWidth="1" min="3" max="3"/>
    <col width="11" customWidth="1" min="4" max="4"/>
    <col width="9" customWidth="1" min="5" max="5"/>
    <col width="12" customWidth="1" min="6" max="6"/>
    <col width="10" customWidth="1" min="7" max="7"/>
    <col width="10" customWidth="1" min="8" max="8"/>
    <col width="10" customWidth="1" min="9" max="9"/>
    <col width="12" customWidth="1" min="10" max="10"/>
    <col width="13" customWidth="1" min="11" max="11"/>
  </cols>
  <sheetData>
    <row r="1">
      <c r="A1" s="1" t="inlineStr">
        <is>
          <t>Frames and memory per screen</t>
        </is>
      </c>
    </row>
    <row r="2">
      <c r="A2" s="2" t="inlineStr">
        <is>
          <t>dumpsys gfxinfo, reset before each screen. Janky = frame that missed its display deadline.</t>
        </is>
      </c>
    </row>
    <row r="4">
      <c r="A4" s="7" t="inlineStr">
        <is>
          <t>Screen</t>
        </is>
      </c>
      <c r="B4" s="7" t="inlineStr">
        <is>
          <t>Seconds</t>
        </is>
      </c>
      <c r="C4" s="7" t="inlineStr">
        <is>
          <t>Frames</t>
        </is>
      </c>
      <c r="D4" s="7" t="inlineStr">
        <is>
          <t>Janky frames</t>
        </is>
      </c>
      <c r="E4" s="7" t="inlineStr">
        <is>
          <t>Janky %</t>
        </is>
      </c>
      <c r="F4" s="7" t="inlineStr">
        <is>
          <t>Median frame (ms)</t>
        </is>
      </c>
      <c r="G4" s="7" t="inlineStr">
        <is>
          <t>90th pct (ms)</t>
        </is>
      </c>
      <c r="H4" s="7" t="inlineStr">
        <is>
          <t>95th pct (ms)</t>
        </is>
      </c>
      <c r="I4" s="7" t="inlineStr">
        <is>
          <t>99th pct (ms)</t>
        </is>
      </c>
      <c r="J4" s="7" t="inlineStr">
        <is>
          <t>Slow UI-thread frames</t>
        </is>
      </c>
      <c r="K4" s="7" t="inlineStr">
        <is>
          <t>Memory (PSS, MB)</t>
        </is>
      </c>
    </row>
    <row r="5">
      <c r="A5" s="8" t="inlineStr">
        <is>
          <t>Home</t>
        </is>
      </c>
      <c r="B5" s="13" t="n">
        <v>26</v>
      </c>
      <c r="C5" s="9" t="n">
        <v>948</v>
      </c>
      <c r="D5" s="9" t="n">
        <v>41</v>
      </c>
      <c r="E5" s="15">
        <f>D5/C5</f>
        <v/>
      </c>
      <c r="F5" s="13" t="n">
        <v>18</v>
      </c>
      <c r="G5" s="13" t="n">
        <v>24</v>
      </c>
      <c r="H5" s="13" t="n">
        <v>29</v>
      </c>
      <c r="I5" s="13" t="n">
        <v>36</v>
      </c>
      <c r="J5" s="13" t="n">
        <v>4</v>
      </c>
      <c r="K5" s="16">
        <f>178342/1024</f>
        <v/>
      </c>
    </row>
    <row r="6">
      <c r="A6" s="8" t="inlineStr">
        <is>
          <t>Game Map</t>
        </is>
      </c>
      <c r="B6" s="13" t="n">
        <v>87</v>
      </c>
      <c r="C6" s="9" t="n">
        <v>5026</v>
      </c>
      <c r="D6" s="9" t="n">
        <v>66</v>
      </c>
      <c r="E6" s="15">
        <f>D6/C6</f>
        <v/>
      </c>
      <c r="F6" s="13" t="n">
        <v>23</v>
      </c>
      <c r="G6" s="13" t="n">
        <v>29</v>
      </c>
      <c r="H6" s="13" t="n">
        <v>32</v>
      </c>
      <c r="I6" s="13" t="n">
        <v>53</v>
      </c>
      <c r="J6" s="13" t="n">
        <v>39</v>
      </c>
      <c r="K6" s="16">
        <f>174899/1024</f>
        <v/>
      </c>
    </row>
    <row r="7">
      <c r="A7" s="8" t="inlineStr">
        <is>
          <t>Learn + dish page</t>
        </is>
      </c>
      <c r="B7" s="13" t="n">
        <v>64</v>
      </c>
      <c r="C7" s="9" t="n">
        <v>1318</v>
      </c>
      <c r="D7" s="9" t="n">
        <v>77</v>
      </c>
      <c r="E7" s="15">
        <f>D7/C7</f>
        <v/>
      </c>
      <c r="F7" s="13" t="n">
        <v>17</v>
      </c>
      <c r="G7" s="13" t="n">
        <v>26</v>
      </c>
      <c r="H7" s="13" t="n">
        <v>32</v>
      </c>
      <c r="I7" s="13" t="n">
        <v>57</v>
      </c>
      <c r="J7" s="13" t="n">
        <v>21</v>
      </c>
      <c r="K7" s="16">
        <f>235068/1024</f>
        <v/>
      </c>
    </row>
    <row r="8">
      <c r="A8" s="8" t="inlineStr">
        <is>
          <t>Pantry</t>
        </is>
      </c>
      <c r="B8" s="13" t="n">
        <v>40</v>
      </c>
      <c r="C8" s="9" t="n">
        <v>1558</v>
      </c>
      <c r="D8" s="9" t="n">
        <v>30</v>
      </c>
      <c r="E8" s="15">
        <f>D8/C8</f>
        <v/>
      </c>
      <c r="F8" s="13" t="n">
        <v>22</v>
      </c>
      <c r="G8" s="13" t="n">
        <v>27</v>
      </c>
      <c r="H8" s="13" t="n">
        <v>31</v>
      </c>
      <c r="I8" s="13" t="n">
        <v>53</v>
      </c>
      <c r="J8" s="13" t="n">
        <v>17</v>
      </c>
      <c r="K8" s="16">
        <f>307126/1024</f>
        <v/>
      </c>
    </row>
    <row r="9">
      <c r="A9" s="8" t="inlineStr">
        <is>
          <t>Puzzle board</t>
        </is>
      </c>
      <c r="B9" s="13" t="n">
        <v>52</v>
      </c>
      <c r="C9" s="9" t="n">
        <v>2451</v>
      </c>
      <c r="D9" s="9" t="n">
        <v>82</v>
      </c>
      <c r="E9" s="15">
        <f>D9/C9</f>
        <v/>
      </c>
      <c r="F9" s="13" t="n">
        <v>24</v>
      </c>
      <c r="G9" s="13" t="n">
        <v>34</v>
      </c>
      <c r="H9" s="13" t="n">
        <v>42</v>
      </c>
      <c r="I9" s="13" t="n">
        <v>69</v>
      </c>
      <c r="J9" s="13" t="n">
        <v>51</v>
      </c>
      <c r="K9" s="16">
        <f>191830/1024</f>
        <v/>
      </c>
    </row>
    <row r="10">
      <c r="A10" s="10" t="inlineStr">
        <is>
          <t>All screens</t>
        </is>
      </c>
      <c r="B10" s="8">
        <f>SUM(B5:B9)</f>
        <v/>
      </c>
      <c r="C10" s="11">
        <f>SUM(C5:C9)</f>
        <v/>
      </c>
      <c r="D10" s="11">
        <f>SUM(D5:D9)</f>
        <v/>
      </c>
      <c r="E10" s="15">
        <f>D10/C10</f>
        <v/>
      </c>
      <c r="I10" s="8">
        <f>MAX(I5:I9)</f>
        <v/>
      </c>
      <c r="K10" s="16">
        <f>MAX(K5:K9)</f>
        <v/>
      </c>
    </row>
    <row r="12" ht="28" customHeight="1">
      <c r="A12" s="14" t="inlineStr">
        <is>
          <t>Under ~10% janky frames generally feels smooth. Highest jank: Learn + dish page; slowest worst-case frames: Puzzle board (fast typing with tile animations); most memory: Pantry (many ingredient pictures).</t>
        </is>
      </c>
    </row>
    <row r="13"/>
  </sheetData>
  <mergeCells count="1">
    <mergeCell ref="A12:K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40" customWidth="1" min="1" max="1"/>
    <col width="14" customWidth="1" min="2" max="2"/>
    <col width="18" customWidth="1" min="3" max="3"/>
  </cols>
  <sheetData>
    <row r="1">
      <c r="A1" s="1" t="inlineStr">
        <is>
          <t>Sustained play: five full loops through all five screens</t>
        </is>
      </c>
    </row>
    <row r="2">
      <c r="A2" s="2" t="inlineStr">
        <is>
          <t>Fixed build, clean run (one script only).</t>
        </is>
      </c>
    </row>
    <row r="3">
      <c r="A3" s="3" t="inlineStr">
        <is>
          <t>Frames drawn</t>
        </is>
      </c>
      <c r="B3" s="9" t="n">
        <v>57679</v>
      </c>
    </row>
    <row r="4">
      <c r="A4" s="3" t="inlineStr">
        <is>
          <t>Janky frames</t>
        </is>
      </c>
      <c r="B4" s="9" t="n">
        <v>1230</v>
      </c>
    </row>
    <row r="5">
      <c r="A5" s="3" t="inlineStr">
        <is>
          <t>Janky %</t>
        </is>
      </c>
      <c r="B5" s="17">
        <f>B4/B3</f>
        <v/>
      </c>
    </row>
    <row r="6">
      <c r="A6" s="3" t="inlineStr">
        <is>
          <t>Median frame (ms)</t>
        </is>
      </c>
      <c r="B6" s="13" t="n">
        <v>22</v>
      </c>
    </row>
    <row r="7">
      <c r="A7" s="3" t="inlineStr">
        <is>
          <t>90th percentile (ms)</t>
        </is>
      </c>
      <c r="B7" s="13" t="n">
        <v>30</v>
      </c>
    </row>
    <row r="8">
      <c r="A8" s="3" t="inlineStr">
        <is>
          <t>95th percentile (ms)</t>
        </is>
      </c>
      <c r="B8" s="13" t="n">
        <v>32</v>
      </c>
    </row>
    <row r="9">
      <c r="A9" s="3" t="inlineStr">
        <is>
          <t>99th percentile (ms)</t>
        </is>
      </c>
      <c r="B9" s="13" t="n">
        <v>48</v>
      </c>
    </row>
    <row r="11">
      <c r="A11" s="3" t="inlineStr">
        <is>
          <t>Crash / freeze reports during the run</t>
        </is>
      </c>
      <c r="B11" s="13" t="n">
        <v>0</v>
      </c>
    </row>
    <row r="13">
      <c r="A13" s="7" t="inlineStr">
        <is>
          <t>Loop</t>
        </is>
      </c>
      <c r="B13" s="7" t="inlineStr">
        <is>
          <t>Elapsed (s)</t>
        </is>
      </c>
      <c r="C13" s="7" t="inlineStr">
        <is>
          <t>Memory (PSS, MB)</t>
        </is>
      </c>
    </row>
    <row r="14">
      <c r="A14" s="8" t="inlineStr">
        <is>
          <t>Start</t>
        </is>
      </c>
      <c r="B14" s="13" t="n">
        <v>0</v>
      </c>
      <c r="C14" s="16">
        <f>173237/1024</f>
        <v/>
      </c>
    </row>
    <row r="15">
      <c r="A15" s="8" t="inlineStr">
        <is>
          <t>After loop 1</t>
        </is>
      </c>
      <c r="B15" s="13" t="n">
        <v>286</v>
      </c>
      <c r="C15" s="16">
        <f>192365/1024</f>
        <v/>
      </c>
    </row>
    <row r="16">
      <c r="A16" s="8" t="inlineStr">
        <is>
          <t>After loop 2</t>
        </is>
      </c>
      <c r="B16" s="13" t="n">
        <v>560</v>
      </c>
      <c r="C16" s="16">
        <f>198029/1024</f>
        <v/>
      </c>
    </row>
    <row r="17">
      <c r="A17" s="8" t="inlineStr">
        <is>
          <t>After loop 3</t>
        </is>
      </c>
      <c r="B17" s="13" t="n">
        <v>833</v>
      </c>
      <c r="C17" s="16">
        <f>196037/1024</f>
        <v/>
      </c>
    </row>
    <row r="18">
      <c r="A18" s="8" t="inlineStr">
        <is>
          <t>After loop 4</t>
        </is>
      </c>
      <c r="B18" s="13" t="n">
        <v>1099</v>
      </c>
      <c r="C18" s="16">
        <f>197042/1024</f>
        <v/>
      </c>
    </row>
    <row r="19">
      <c r="A19" s="8" t="inlineStr">
        <is>
          <t>After loop 5</t>
        </is>
      </c>
      <c r="B19" s="13" t="n">
        <v>1366</v>
      </c>
      <c r="C19" s="16">
        <f>194990/1024</f>
        <v/>
      </c>
    </row>
    <row r="21">
      <c r="A21" s="3" t="inlineStr">
        <is>
          <t>Memory trend</t>
        </is>
      </c>
      <c r="C21" s="18">
        <f>IF(MAX(C15:C19)-MIN(C15:C19)&lt;=15,"Flat (no leak)","Rising — check for a leak")</f>
        <v/>
      </c>
    </row>
    <row r="22">
      <c r="A22" s="3" t="inlineStr">
        <is>
          <t>Change from loop 1 to the last loop (MB)</t>
        </is>
      </c>
      <c r="C22" s="19">
        <f>C19-C15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5" customWidth="1" min="1" max="1"/>
    <col width="22" customWidth="1" min="2" max="2"/>
    <col width="14" customWidth="1" min="3" max="3"/>
    <col width="18" customWidth="1" min="4" max="4"/>
    <col width="34" customWidth="1" min="5" max="5"/>
    <col width="60" customWidth="1" min="6" max="6"/>
  </cols>
  <sheetData>
    <row r="1">
      <c r="A1" s="1" t="inlineStr">
        <is>
          <t>Startup freezes (Android 'isn't responding' reports)</t>
        </is>
      </c>
    </row>
    <row r="3">
      <c r="A3" s="7" t="inlineStr">
        <is>
          <t>#</t>
        </is>
      </c>
      <c r="B3" s="7" t="inlineStr">
        <is>
          <t>When</t>
        </is>
      </c>
      <c r="C3" s="7" t="inlineStr">
        <is>
          <t>Phone CPU busy</t>
        </is>
      </c>
      <c r="D3" s="7" t="inlineStr">
        <is>
          <t>System (kernel) share</t>
        </is>
      </c>
      <c r="E3" s="7" t="inlineStr">
        <is>
          <t>Android's reason</t>
        </is>
      </c>
      <c r="F3" s="7" t="inlineStr">
        <is>
          <t>Where the app was waiting</t>
        </is>
      </c>
    </row>
    <row r="4">
      <c r="A4" s="8" t="n">
        <v>1</v>
      </c>
      <c r="B4" s="13" t="inlineStr">
        <is>
          <t>2026-10-05 00:28:03.665</t>
        </is>
      </c>
      <c r="C4" s="13" t="inlineStr">
        <is>
          <t>96%</t>
        </is>
      </c>
      <c r="D4" s="13" t="inlineStr">
        <is>
          <t>76%</t>
        </is>
      </c>
      <c r="E4" s="20" t="inlineStr">
        <is>
          <t>Process failed to complete startup</t>
        </is>
      </c>
      <c r="F4" s="20" t="inlineStr">
        <is>
          <t>Main thread waiting for a saved-settings file to load: ReelCatalogStore.warm (line 46), called from KusinaKodeApp.onCreate</t>
        </is>
      </c>
    </row>
    <row r="5">
      <c r="A5" s="8" t="n">
        <v>2</v>
      </c>
      <c r="B5" s="13" t="inlineStr">
        <is>
          <t>2026-10-05 00:38:47.057</t>
        </is>
      </c>
      <c r="C5" s="13" t="inlineStr">
        <is>
          <t>97%</t>
        </is>
      </c>
      <c r="D5" s="13" t="inlineStr">
        <is>
          <t>74%</t>
        </is>
      </c>
      <c r="E5" s="20" t="inlineStr">
        <is>
          <t>Process failed to complete startup</t>
        </is>
      </c>
      <c r="F5" s="20" t="inlineStr">
        <is>
          <t>Main thread waiting for a saved-settings file to load: ReelCatalogStore.warm (line 46), called from KusinaKodeApp.onCreate</t>
        </is>
      </c>
    </row>
    <row r="7" ht="42" customHeight="1">
      <c r="A7" s="3" t="inlineStr">
        <is>
          <t>When</t>
        </is>
      </c>
      <c r="C7" s="4" t="inlineStr">
        <is>
          <t>Both right after the emulator booted, while the phone was still settling.</t>
        </is>
      </c>
    </row>
    <row r="8" ht="42" customHeight="1">
      <c r="A8" s="3" t="inlineStr">
        <is>
          <t>Likely cause</t>
        </is>
      </c>
      <c r="C8" s="4" t="inlineStr">
        <is>
          <t>A very busy phone, mostly the system itself (about 75% of CPU in the kernel), which points to memory being swapped to disk. The app's startup code was reading files on the main thread at that moment, so it could not draw its first screen.</t>
        </is>
      </c>
    </row>
    <row r="9" ht="42" customHeight="1">
      <c r="A9" s="3" t="inlineStr">
        <is>
          <t>Fix (1.26, not yet released)</t>
        </is>
      </c>
      <c r="C9" s="4" t="inlineStr">
        <is>
          <t>Reading the reel list, creating notification channels and scheduling play reminders now happen on a background thread, so the first screen does not wait for them.</t>
        </is>
      </c>
    </row>
    <row r="10" ht="42" customHeight="1">
      <c r="A10" s="3" t="inlineStr">
        <is>
          <t>Verification</t>
        </is>
      </c>
      <c r="C10" s="4" t="inlineStr">
        <is>
          <t>Unit tests pass. Notification channels confirmed. With the CPU maxed out, neither the old nor the fixed code froze, so the original freeze could not be recreated on demand; the fix removes the file reads Android caught, but it is not proven by this test.</t>
        </is>
      </c>
    </row>
    <row r="11" ht="42" customHeight="1">
      <c r="A11" s="3" t="inlineStr">
        <is>
          <t>During normal play</t>
        </is>
      </c>
      <c r="C11" s="4" t="inlineStr">
        <is>
          <t>No freezes or crashes in the sustained run.</t>
        </is>
      </c>
    </row>
  </sheetData>
  <mergeCells count="10">
    <mergeCell ref="C9:F9"/>
    <mergeCell ref="A7:B7"/>
    <mergeCell ref="C8:F8"/>
    <mergeCell ref="A11:B11"/>
    <mergeCell ref="A10:B10"/>
    <mergeCell ref="C7:F7"/>
    <mergeCell ref="C11:F11"/>
    <mergeCell ref="A9:B9"/>
    <mergeCell ref="A8:B8"/>
    <mergeCell ref="C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2026-10-05T01:39:33Z</dcterms:created>
  <dcterms:modified xmlns:dcterms="http://purl.org/dc/terms/" xmlns:xsi="http://www.w3.org/2001/XMLSchema-instance" xsi:type="dcterms:W3CDTF">2026-10-05T01:39:45Z</dcterms:modified>
</cp:coreProperties>
</file>