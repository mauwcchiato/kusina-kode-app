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 opens" sheetId="2" state="visible" r:id="rId2"/>
    <sheet xmlns:r="http://schemas.openxmlformats.org/officeDocument/2006/relationships" name="Sustained play" sheetId="3" state="visible" r:id="rId3"/>
    <sheet xmlns:r="http://schemas.openxmlformats.org/officeDocument/2006/relationships" name="How to re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8B4A2B"/>
      <sz val="14"/>
    </font>
    <font>
      <b val="1"/>
    </font>
    <font>
      <b val="1"/>
      <color rgb="00FFFFFF"/>
    </font>
    <font>
      <b val="1"/>
      <color rgb="001E7B34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C8691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  <xf numFmtId="0" fontId="0" fillId="0" borderId="1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6" customWidth="1" min="3" max="3"/>
    <col width="40" customWidth="1" min="4" max="4"/>
    <col width="13" customWidth="1" min="5" max="5"/>
    <col width="10" customWidth="1" min="6" max="6"/>
  </cols>
  <sheetData>
    <row r="1">
      <c r="A1" s="1" t="inlineStr">
        <is>
          <t>Kusina Kode - Instrumented UI Test</t>
        </is>
      </c>
    </row>
    <row r="2">
      <c r="A2" t="inlineStr">
        <is>
          <t>Run 10 Oct 2026. Blue = measured value, black = formula.</t>
        </is>
      </c>
    </row>
    <row r="4">
      <c r="A4" s="2" t="inlineStr">
        <is>
          <t>Test file</t>
        </is>
      </c>
      <c r="B4" s="3" t="inlineStr">
        <is>
          <t>app/src/androidTest/java/com/example/kusinakode/GameNavigationStressTest.kt</t>
        </is>
      </c>
    </row>
    <row r="5">
      <c r="A5" s="2" t="inlineStr">
        <is>
          <t>Tool</t>
        </is>
      </c>
      <c r="B5" s="3" t="inlineStr">
        <is>
          <t>Jetpack Compose UI Test (ui-test-junit4, built on Espresso), AndroidJUnitRunner</t>
        </is>
      </c>
    </row>
    <row r="6">
      <c r="A6" s="2" t="inlineStr">
        <is>
          <t>Device</t>
        </is>
      </c>
      <c r="B6" s="3" t="inlineStr">
        <is>
          <t>Android emulator 'Medium Phone', Android 16</t>
        </is>
      </c>
    </row>
    <row r="7">
      <c r="A7" s="2" t="inlineStr">
        <is>
          <t>App build</t>
        </is>
      </c>
      <c r="B7" s="3" t="inlineStr">
        <is>
          <t>Kusina Kode 1.27 (debug build), signed in as a test player</t>
        </is>
      </c>
    </row>
    <row r="8">
      <c r="A8" s="2" t="inlineStr">
        <is>
          <t>Runs</t>
        </is>
      </c>
      <c r="B8" s="3" t="inlineStr">
        <is>
          <t>3 full runs of both tests</t>
        </is>
      </c>
    </row>
    <row r="9" ht="30" customHeight="1">
      <c r="A9" s="2" t="inlineStr">
        <is>
          <t>Server impact</t>
        </is>
      </c>
      <c r="B9" s="3" t="inlineStr">
        <is>
          <t>None. Letters are typed and erased, but ENTER is never pressed, so no attempt, purchase, spin or claim reaches the server.</t>
        </is>
      </c>
    </row>
    <row r="11">
      <c r="A11" s="4" t="inlineStr">
        <is>
          <t>Ref</t>
        </is>
      </c>
      <c r="B11" s="4" t="inlineStr">
        <is>
          <t>Test case</t>
        </is>
      </c>
      <c r="C11" s="4" t="inlineStr">
        <is>
          <t>What it checks</t>
        </is>
      </c>
      <c r="D11" s="4" t="inlineStr">
        <is>
          <t>Pass condition</t>
        </is>
      </c>
      <c r="E11" s="4" t="inlineStr">
        <is>
          <t>Runs passed</t>
        </is>
      </c>
      <c r="F11" s="4" t="inlineStr">
        <is>
          <t>Result</t>
        </is>
      </c>
    </row>
    <row r="12" ht="62" customHeight="1">
      <c r="A12" s="5" t="inlineStr">
        <is>
          <t>I-055</t>
        </is>
      </c>
      <c r="B12" s="5" t="inlineStr">
        <is>
          <t>Compose UI / navigation</t>
        </is>
      </c>
      <c r="C12" s="5" t="inlineStr">
        <is>
          <t>Opens each bottom-bar tab (Game Map, Learn, Wallet, Profile, Home), 3 times round per run, and waits for that screen's own content</t>
        </is>
      </c>
      <c r="D12" s="5" t="inlineStr">
        <is>
          <t>Every tab shows its content within 15 s and the bottom bar is still there (no crash or freeze)</t>
        </is>
      </c>
      <c r="E12" s="5">
        <f>COUNTIF('Tab opens'!F:F,"Pass")/15&amp;" of 3"</f>
        <v/>
      </c>
      <c r="F12" s="6">
        <f>IF(COUNTIF('Tab opens'!F:F,"Pass")=45,"PASS","FAIL")</f>
        <v/>
      </c>
    </row>
    <row r="13" ht="62" customHeight="1">
      <c r="A13" s="5" t="inlineStr">
        <is>
          <t>I-048</t>
        </is>
      </c>
      <c r="B13" s="5" t="inlineStr">
        <is>
          <t>Mobile rendering under sustained play</t>
        </is>
      </c>
      <c r="C13" s="5" t="inlineStr">
        <is>
          <t>50 cycles of typing ADOBO and erasing it on a live round (500 key presses per run)</t>
        </is>
      </c>
      <c r="D13" s="5" t="inlineStr">
        <is>
          <t>After each word all 5 letters are on the board; after erasing they are all gone</t>
        </is>
      </c>
      <c r="E13" s="5">
        <f>COUNTIF('Sustained play'!G5:G7,"Pass")&amp;" of 3"</f>
        <v/>
      </c>
      <c r="F13" s="6">
        <f>IF(COUNTIF('Sustained play'!G5:G7,"Pass")=3,"PASS","FAIL")</f>
        <v/>
      </c>
    </row>
    <row r="16">
      <c r="A16" s="1" t="inlineStr">
        <is>
          <t>Key results</t>
        </is>
      </c>
    </row>
    <row r="17">
      <c r="A17" s="2" t="inlineStr">
        <is>
          <t>Tab opens, total</t>
        </is>
      </c>
      <c r="B17" s="7">
        <f>COUNT('Tab opens'!E5:E49)</f>
        <v/>
      </c>
    </row>
    <row r="18">
      <c r="A18" s="2" t="inlineStr">
        <is>
          <t>Tab opens failed</t>
        </is>
      </c>
      <c r="B18" s="7">
        <f>COUNTIF('Tab opens'!F5:F49,"Fail")</f>
        <v/>
      </c>
    </row>
    <row r="19">
      <c r="A19" s="2" t="inlineStr">
        <is>
          <t>Average tab open (ms)</t>
        </is>
      </c>
      <c r="B19" s="7">
        <f>ROUND(AVERAGE('Tab opens'!E5:E49),0)</f>
        <v/>
      </c>
    </row>
    <row r="20">
      <c r="A20" s="2" t="inlineStr">
        <is>
          <t>Slowest tab open (ms)</t>
        </is>
      </c>
      <c r="B20" s="7">
        <f>MAX('Tab opens'!E5:E49)</f>
        <v/>
      </c>
    </row>
    <row r="21">
      <c r="A21" s="2" t="inlineStr">
        <is>
          <t>Type-and-erase cycles, total</t>
        </is>
      </c>
      <c r="B21" s="7">
        <f>'Sustained play'!B8</f>
        <v/>
      </c>
    </row>
    <row r="22">
      <c r="A22" s="2" t="inlineStr">
        <is>
          <t>Key presses, total</t>
        </is>
      </c>
      <c r="B22" s="7">
        <f>'Sustained play'!C8</f>
        <v/>
      </c>
    </row>
    <row r="23">
      <c r="A23" s="2" t="inlineStr">
        <is>
          <t>Board mismatches</t>
        </is>
      </c>
      <c r="B23" s="7">
        <f>'Sustained play'!F8</f>
        <v/>
      </c>
    </row>
    <row r="24">
      <c r="A24" s="2" t="inlineStr">
        <is>
          <t>Average time per cycle (s)</t>
        </is>
      </c>
      <c r="B24" s="7">
        <f>'Sustained play'!E8</f>
        <v/>
      </c>
    </row>
    <row r="26" ht="48" customHeight="1">
      <c r="A26" s="2" t="inlineStr">
        <is>
          <t>Limitations</t>
        </is>
      </c>
      <c r="B26" s="3" t="inlineStr">
        <is>
          <t>Compose pauses looping animations while a UI test runs, so this proves the screens open and the round keeps responding; it does not measure smoothness. Frame timing (jank) is in the mobile stress test workbook (real vivo V17 Pro). Run on an emulator only; times on a real phone will differ.</t>
        </is>
      </c>
    </row>
    <row r="27">
      <c r="A27" s="2" t="inlineStr">
        <is>
          <t>Read with</t>
        </is>
      </c>
      <c r="B27" s="3" t="inlineStr">
        <is>
          <t>Kusina-Kode-Stress-Test-2026-10-05.xlsx. Raw logs: docs/testing/instrumented-2026-10-10/ in the app repo.</t>
        </is>
      </c>
    </row>
  </sheetData>
  <mergeCells count="8">
    <mergeCell ref="B4:F4"/>
    <mergeCell ref="B9:F9"/>
    <mergeCell ref="B7:F7"/>
    <mergeCell ref="B6:F6"/>
    <mergeCell ref="B5:F5"/>
    <mergeCell ref="B8:F8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7" customWidth="1" min="4" max="4"/>
    <col width="10" customWidth="1" min="5" max="5"/>
    <col width="8" customWidth="1" min="6" max="6"/>
    <col width="3" customWidth="1" min="7" max="7"/>
    <col width="12" customWidth="1" min="8" max="8"/>
    <col width="8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I-055 - time for each bottom-bar tab to open and show its content</t>
        </is>
      </c>
    </row>
    <row r="2">
      <c r="A2" t="inlineStr">
        <is>
          <t>From tap to the screen's own content being on screen (Game Map: island names; Learn: 'See all'; Home: Continue / Play Now).</t>
        </is>
      </c>
    </row>
    <row r="4">
      <c r="A4" s="4" t="inlineStr">
        <is>
          <t>Run</t>
        </is>
      </c>
      <c r="B4" s="4" t="inlineStr">
        <is>
          <t>Loop</t>
        </is>
      </c>
      <c r="C4" s="4" t="inlineStr">
        <is>
          <t>Tab</t>
        </is>
      </c>
      <c r="D4" s="4" t="inlineStr">
        <is>
          <t>Order</t>
        </is>
      </c>
      <c r="E4" s="4" t="inlineStr">
        <is>
          <t>Time (ms)</t>
        </is>
      </c>
      <c r="F4" s="4" t="inlineStr">
        <is>
          <t>Result</t>
        </is>
      </c>
      <c r="H4" s="2" t="inlineStr">
        <is>
          <t>Per tab</t>
        </is>
      </c>
    </row>
    <row r="5">
      <c r="A5" s="8" t="n">
        <v>1</v>
      </c>
      <c r="B5" s="8" t="n">
        <v>1</v>
      </c>
      <c r="C5" s="8" t="inlineStr">
        <is>
          <t>Game Map</t>
        </is>
      </c>
      <c r="D5" s="8" t="n">
        <v>1</v>
      </c>
      <c r="E5" s="9" t="n">
        <v>387</v>
      </c>
      <c r="F5" s="8">
        <f>IF(E5&lt;=15000,"Pass","Fail")</f>
        <v/>
      </c>
      <c r="H5" s="4" t="inlineStr">
        <is>
          <t>Tab</t>
        </is>
      </c>
      <c r="I5" s="4" t="inlineStr">
        <is>
          <t>Opens</t>
        </is>
      </c>
      <c r="J5" s="4" t="inlineStr">
        <is>
          <t>Average (ms)</t>
        </is>
      </c>
      <c r="K5" s="4" t="inlineStr">
        <is>
          <t>Fastest (ms)</t>
        </is>
      </c>
      <c r="L5" s="4" t="inlineStr">
        <is>
          <t>Slowest (ms)</t>
        </is>
      </c>
    </row>
    <row r="6">
      <c r="A6" s="8" t="n">
        <v>1</v>
      </c>
      <c r="B6" s="8" t="n">
        <v>1</v>
      </c>
      <c r="C6" s="8" t="inlineStr">
        <is>
          <t>Learn</t>
        </is>
      </c>
      <c r="D6" s="8" t="n">
        <v>2</v>
      </c>
      <c r="E6" s="9" t="n">
        <v>496</v>
      </c>
      <c r="F6" s="8">
        <f>IF(E6&lt;=15000,"Pass","Fail")</f>
        <v/>
      </c>
      <c r="H6" s="8" t="inlineStr">
        <is>
          <t>Game Map</t>
        </is>
      </c>
      <c r="I6" s="8">
        <f>COUNTIF($C$5:$C$49,H6)</f>
        <v/>
      </c>
      <c r="J6" s="8">
        <f>ROUND(AVERAGEIF($C$5:$C$49,H6,$E$5:$E$49),0)</f>
        <v/>
      </c>
      <c r="K6" s="8">
        <f>_xlfn.MINIFS($E$5:$E$49,$C$5:$C$49,H6)</f>
        <v/>
      </c>
      <c r="L6" s="8">
        <f>_xlfn.MAXIFS($E$5:$E$49,$C$5:$C$49,H6)</f>
        <v/>
      </c>
    </row>
    <row r="7">
      <c r="A7" s="8" t="n">
        <v>1</v>
      </c>
      <c r="B7" s="8" t="n">
        <v>1</v>
      </c>
      <c r="C7" s="8" t="inlineStr">
        <is>
          <t>Wallet</t>
        </is>
      </c>
      <c r="D7" s="8" t="n">
        <v>3</v>
      </c>
      <c r="E7" s="9" t="n">
        <v>426</v>
      </c>
      <c r="F7" s="8">
        <f>IF(E7&lt;=15000,"Pass","Fail")</f>
        <v/>
      </c>
      <c r="H7" s="8" t="inlineStr">
        <is>
          <t>Learn</t>
        </is>
      </c>
      <c r="I7" s="8">
        <f>COUNTIF($C$5:$C$49,H7)</f>
        <v/>
      </c>
      <c r="J7" s="8">
        <f>ROUND(AVERAGEIF($C$5:$C$49,H7,$E$5:$E$49),0)</f>
        <v/>
      </c>
      <c r="K7" s="8">
        <f>_xlfn.MINIFS($E$5:$E$49,$C$5:$C$49,H7)</f>
        <v/>
      </c>
      <c r="L7" s="8">
        <f>_xlfn.MAXIFS($E$5:$E$49,$C$5:$C$49,H7)</f>
        <v/>
      </c>
    </row>
    <row r="8">
      <c r="A8" s="8" t="n">
        <v>1</v>
      </c>
      <c r="B8" s="8" t="n">
        <v>1</v>
      </c>
      <c r="C8" s="8" t="inlineStr">
        <is>
          <t>Profile</t>
        </is>
      </c>
      <c r="D8" s="8" t="n">
        <v>4</v>
      </c>
      <c r="E8" s="9" t="n">
        <v>462</v>
      </c>
      <c r="F8" s="8">
        <f>IF(E8&lt;=15000,"Pass","Fail")</f>
        <v/>
      </c>
      <c r="H8" s="8" t="inlineStr">
        <is>
          <t>Wallet</t>
        </is>
      </c>
      <c r="I8" s="8">
        <f>COUNTIF($C$5:$C$49,H8)</f>
        <v/>
      </c>
      <c r="J8" s="8">
        <f>ROUND(AVERAGEIF($C$5:$C$49,H8,$E$5:$E$49),0)</f>
        <v/>
      </c>
      <c r="K8" s="8">
        <f>_xlfn.MINIFS($E$5:$E$49,$C$5:$C$49,H8)</f>
        <v/>
      </c>
      <c r="L8" s="8">
        <f>_xlfn.MAXIFS($E$5:$E$49,$C$5:$C$49,H8)</f>
        <v/>
      </c>
    </row>
    <row r="9">
      <c r="A9" s="8" t="n">
        <v>1</v>
      </c>
      <c r="B9" s="8" t="n">
        <v>1</v>
      </c>
      <c r="C9" s="8" t="inlineStr">
        <is>
          <t>Home</t>
        </is>
      </c>
      <c r="D9" s="8" t="n">
        <v>5</v>
      </c>
      <c r="E9" s="9" t="n">
        <v>427</v>
      </c>
      <c r="F9" s="8">
        <f>IF(E9&lt;=15000,"Pass","Fail")</f>
        <v/>
      </c>
      <c r="H9" s="8" t="inlineStr">
        <is>
          <t>Profile</t>
        </is>
      </c>
      <c r="I9" s="8">
        <f>COUNTIF($C$5:$C$49,H9)</f>
        <v/>
      </c>
      <c r="J9" s="8">
        <f>ROUND(AVERAGEIF($C$5:$C$49,H9,$E$5:$E$49),0)</f>
        <v/>
      </c>
      <c r="K9" s="8">
        <f>_xlfn.MINIFS($E$5:$E$49,$C$5:$C$49,H9)</f>
        <v/>
      </c>
      <c r="L9" s="8">
        <f>_xlfn.MAXIFS($E$5:$E$49,$C$5:$C$49,H9)</f>
        <v/>
      </c>
    </row>
    <row r="10">
      <c r="A10" s="8" t="n">
        <v>1</v>
      </c>
      <c r="B10" s="8" t="n">
        <v>2</v>
      </c>
      <c r="C10" s="8" t="inlineStr">
        <is>
          <t>Game Map</t>
        </is>
      </c>
      <c r="D10" s="8" t="n">
        <v>1</v>
      </c>
      <c r="E10" s="9" t="n">
        <v>322</v>
      </c>
      <c r="F10" s="8">
        <f>IF(E10&lt;=15000,"Pass","Fail")</f>
        <v/>
      </c>
      <c r="H10" s="8" t="inlineStr">
        <is>
          <t>Home</t>
        </is>
      </c>
      <c r="I10" s="8">
        <f>COUNTIF($C$5:$C$49,H10)</f>
        <v/>
      </c>
      <c r="J10" s="8">
        <f>ROUND(AVERAGEIF($C$5:$C$49,H10,$E$5:$E$49),0)</f>
        <v/>
      </c>
      <c r="K10" s="8">
        <f>_xlfn.MINIFS($E$5:$E$49,$C$5:$C$49,H10)</f>
        <v/>
      </c>
      <c r="L10" s="8">
        <f>_xlfn.MAXIFS($E$5:$E$49,$C$5:$C$49,H10)</f>
        <v/>
      </c>
    </row>
    <row r="11">
      <c r="A11" s="8" t="n">
        <v>1</v>
      </c>
      <c r="B11" s="8" t="n">
        <v>2</v>
      </c>
      <c r="C11" s="8" t="inlineStr">
        <is>
          <t>Learn</t>
        </is>
      </c>
      <c r="D11" s="8" t="n">
        <v>2</v>
      </c>
      <c r="E11" s="9" t="n">
        <v>382</v>
      </c>
      <c r="F11" s="8">
        <f>IF(E11&lt;=15000,"Pass","Fail")</f>
        <v/>
      </c>
      <c r="H11" s="10" t="inlineStr">
        <is>
          <t>All tabs</t>
        </is>
      </c>
      <c r="I11" s="10">
        <f>COUNT(E5:E49)</f>
        <v/>
      </c>
      <c r="J11" s="10">
        <f>ROUND(AVERAGE(E5:E49),0)</f>
        <v/>
      </c>
      <c r="K11" s="10">
        <f>MIN(E5:E49)</f>
        <v/>
      </c>
      <c r="L11" s="10">
        <f>MAX(E5:E49)</f>
        <v/>
      </c>
    </row>
    <row r="12">
      <c r="A12" s="8" t="n">
        <v>1</v>
      </c>
      <c r="B12" s="8" t="n">
        <v>2</v>
      </c>
      <c r="C12" s="8" t="inlineStr">
        <is>
          <t>Wallet</t>
        </is>
      </c>
      <c r="D12" s="8" t="n">
        <v>3</v>
      </c>
      <c r="E12" s="9" t="n">
        <v>328</v>
      </c>
      <c r="F12" s="8">
        <f>IF(E12&lt;=15000,"Pass","Fail")</f>
        <v/>
      </c>
    </row>
    <row r="13">
      <c r="A13" s="8" t="n">
        <v>1</v>
      </c>
      <c r="B13" s="8" t="n">
        <v>2</v>
      </c>
      <c r="C13" s="8" t="inlineStr">
        <is>
          <t>Profile</t>
        </is>
      </c>
      <c r="D13" s="8" t="n">
        <v>4</v>
      </c>
      <c r="E13" s="9" t="n">
        <v>409</v>
      </c>
      <c r="F13" s="8">
        <f>IF(E13&lt;=15000,"Pass","Fail")</f>
        <v/>
      </c>
    </row>
    <row r="14">
      <c r="A14" s="8" t="n">
        <v>1</v>
      </c>
      <c r="B14" s="8" t="n">
        <v>2</v>
      </c>
      <c r="C14" s="8" t="inlineStr">
        <is>
          <t>Home</t>
        </is>
      </c>
      <c r="D14" s="8" t="n">
        <v>5</v>
      </c>
      <c r="E14" s="9" t="n">
        <v>379</v>
      </c>
      <c r="F14" s="8">
        <f>IF(E14&lt;=15000,"Pass","Fail")</f>
        <v/>
      </c>
    </row>
    <row r="15">
      <c r="A15" s="8" t="n">
        <v>1</v>
      </c>
      <c r="B15" s="8" t="n">
        <v>3</v>
      </c>
      <c r="C15" s="8" t="inlineStr">
        <is>
          <t>Game Map</t>
        </is>
      </c>
      <c r="D15" s="8" t="n">
        <v>1</v>
      </c>
      <c r="E15" s="9" t="n">
        <v>290</v>
      </c>
      <c r="F15" s="8">
        <f>IF(E15&lt;=15000,"Pass","Fail")</f>
        <v/>
      </c>
    </row>
    <row r="16">
      <c r="A16" s="8" t="n">
        <v>1</v>
      </c>
      <c r="B16" s="8" t="n">
        <v>3</v>
      </c>
      <c r="C16" s="8" t="inlineStr">
        <is>
          <t>Learn</t>
        </is>
      </c>
      <c r="D16" s="8" t="n">
        <v>2</v>
      </c>
      <c r="E16" s="9" t="n">
        <v>397</v>
      </c>
      <c r="F16" s="8">
        <f>IF(E16&lt;=15000,"Pass","Fail")</f>
        <v/>
      </c>
    </row>
    <row r="17">
      <c r="A17" s="8" t="n">
        <v>1</v>
      </c>
      <c r="B17" s="8" t="n">
        <v>3</v>
      </c>
      <c r="C17" s="8" t="inlineStr">
        <is>
          <t>Wallet</t>
        </is>
      </c>
      <c r="D17" s="8" t="n">
        <v>3</v>
      </c>
      <c r="E17" s="9" t="n">
        <v>314</v>
      </c>
      <c r="F17" s="8">
        <f>IF(E17&lt;=15000,"Pass","Fail")</f>
        <v/>
      </c>
    </row>
    <row r="18">
      <c r="A18" s="8" t="n">
        <v>1</v>
      </c>
      <c r="B18" s="8" t="n">
        <v>3</v>
      </c>
      <c r="C18" s="8" t="inlineStr">
        <is>
          <t>Profile</t>
        </is>
      </c>
      <c r="D18" s="8" t="n">
        <v>4</v>
      </c>
      <c r="E18" s="9" t="n">
        <v>369</v>
      </c>
      <c r="F18" s="8">
        <f>IF(E18&lt;=15000,"Pass","Fail")</f>
        <v/>
      </c>
    </row>
    <row r="19">
      <c r="A19" s="8" t="n">
        <v>1</v>
      </c>
      <c r="B19" s="8" t="n">
        <v>3</v>
      </c>
      <c r="C19" s="8" t="inlineStr">
        <is>
          <t>Home</t>
        </is>
      </c>
      <c r="D19" s="8" t="n">
        <v>5</v>
      </c>
      <c r="E19" s="9" t="n">
        <v>316</v>
      </c>
      <c r="F19" s="8">
        <f>IF(E19&lt;=15000,"Pass","Fail")</f>
        <v/>
      </c>
    </row>
    <row r="20">
      <c r="A20" s="8" t="n">
        <v>2</v>
      </c>
      <c r="B20" s="8" t="n">
        <v>1</v>
      </c>
      <c r="C20" s="8" t="inlineStr">
        <is>
          <t>Game Map</t>
        </is>
      </c>
      <c r="D20" s="8" t="n">
        <v>1</v>
      </c>
      <c r="E20" s="9" t="n">
        <v>448</v>
      </c>
      <c r="F20" s="8">
        <f>IF(E20&lt;=15000,"Pass","Fail")</f>
        <v/>
      </c>
    </row>
    <row r="21">
      <c r="A21" s="8" t="n">
        <v>2</v>
      </c>
      <c r="B21" s="8" t="n">
        <v>1</v>
      </c>
      <c r="C21" s="8" t="inlineStr">
        <is>
          <t>Learn</t>
        </is>
      </c>
      <c r="D21" s="8" t="n">
        <v>2</v>
      </c>
      <c r="E21" s="9" t="n">
        <v>530</v>
      </c>
      <c r="F21" s="8">
        <f>IF(E21&lt;=15000,"Pass","Fail")</f>
        <v/>
      </c>
    </row>
    <row r="22">
      <c r="A22" s="8" t="n">
        <v>2</v>
      </c>
      <c r="B22" s="8" t="n">
        <v>1</v>
      </c>
      <c r="C22" s="8" t="inlineStr">
        <is>
          <t>Wallet</t>
        </is>
      </c>
      <c r="D22" s="8" t="n">
        <v>3</v>
      </c>
      <c r="E22" s="9" t="n">
        <v>358</v>
      </c>
      <c r="F22" s="8">
        <f>IF(E22&lt;=15000,"Pass","Fail")</f>
        <v/>
      </c>
    </row>
    <row r="23">
      <c r="A23" s="8" t="n">
        <v>2</v>
      </c>
      <c r="B23" s="8" t="n">
        <v>1</v>
      </c>
      <c r="C23" s="8" t="inlineStr">
        <is>
          <t>Profile</t>
        </is>
      </c>
      <c r="D23" s="8" t="n">
        <v>4</v>
      </c>
      <c r="E23" s="9" t="n">
        <v>416</v>
      </c>
      <c r="F23" s="8">
        <f>IF(E23&lt;=15000,"Pass","Fail")</f>
        <v/>
      </c>
    </row>
    <row r="24">
      <c r="A24" s="8" t="n">
        <v>2</v>
      </c>
      <c r="B24" s="8" t="n">
        <v>1</v>
      </c>
      <c r="C24" s="8" t="inlineStr">
        <is>
          <t>Home</t>
        </is>
      </c>
      <c r="D24" s="8" t="n">
        <v>5</v>
      </c>
      <c r="E24" s="9" t="n">
        <v>409</v>
      </c>
      <c r="F24" s="8">
        <f>IF(E24&lt;=15000,"Pass","Fail")</f>
        <v/>
      </c>
    </row>
    <row r="25">
      <c r="A25" s="8" t="n">
        <v>2</v>
      </c>
      <c r="B25" s="8" t="n">
        <v>2</v>
      </c>
      <c r="C25" s="8" t="inlineStr">
        <is>
          <t>Game Map</t>
        </is>
      </c>
      <c r="D25" s="8" t="n">
        <v>1</v>
      </c>
      <c r="E25" s="9" t="n">
        <v>300</v>
      </c>
      <c r="F25" s="8">
        <f>IF(E25&lt;=15000,"Pass","Fail")</f>
        <v/>
      </c>
    </row>
    <row r="26">
      <c r="A26" s="8" t="n">
        <v>2</v>
      </c>
      <c r="B26" s="8" t="n">
        <v>2</v>
      </c>
      <c r="C26" s="8" t="inlineStr">
        <is>
          <t>Learn</t>
        </is>
      </c>
      <c r="D26" s="8" t="n">
        <v>2</v>
      </c>
      <c r="E26" s="9" t="n">
        <v>413</v>
      </c>
      <c r="F26" s="8">
        <f>IF(E26&lt;=15000,"Pass","Fail")</f>
        <v/>
      </c>
    </row>
    <row r="27">
      <c r="A27" s="8" t="n">
        <v>2</v>
      </c>
      <c r="B27" s="8" t="n">
        <v>2</v>
      </c>
      <c r="C27" s="8" t="inlineStr">
        <is>
          <t>Wallet</t>
        </is>
      </c>
      <c r="D27" s="8" t="n">
        <v>3</v>
      </c>
      <c r="E27" s="9" t="n">
        <v>309</v>
      </c>
      <c r="F27" s="8">
        <f>IF(E27&lt;=15000,"Pass","Fail")</f>
        <v/>
      </c>
    </row>
    <row r="28">
      <c r="A28" s="8" t="n">
        <v>2</v>
      </c>
      <c r="B28" s="8" t="n">
        <v>2</v>
      </c>
      <c r="C28" s="8" t="inlineStr">
        <is>
          <t>Profile</t>
        </is>
      </c>
      <c r="D28" s="8" t="n">
        <v>4</v>
      </c>
      <c r="E28" s="9" t="n">
        <v>327</v>
      </c>
      <c r="F28" s="8">
        <f>IF(E28&lt;=15000,"Pass","Fail")</f>
        <v/>
      </c>
    </row>
    <row r="29">
      <c r="A29" s="8" t="n">
        <v>2</v>
      </c>
      <c r="B29" s="8" t="n">
        <v>2</v>
      </c>
      <c r="C29" s="8" t="inlineStr">
        <is>
          <t>Home</t>
        </is>
      </c>
      <c r="D29" s="8" t="n">
        <v>5</v>
      </c>
      <c r="E29" s="9" t="n">
        <v>401</v>
      </c>
      <c r="F29" s="8">
        <f>IF(E29&lt;=15000,"Pass","Fail")</f>
        <v/>
      </c>
    </row>
    <row r="30">
      <c r="A30" s="8" t="n">
        <v>2</v>
      </c>
      <c r="B30" s="8" t="n">
        <v>3</v>
      </c>
      <c r="C30" s="8" t="inlineStr">
        <is>
          <t>Game Map</t>
        </is>
      </c>
      <c r="D30" s="8" t="n">
        <v>1</v>
      </c>
      <c r="E30" s="9" t="n">
        <v>257</v>
      </c>
      <c r="F30" s="8">
        <f>IF(E30&lt;=15000,"Pass","Fail")</f>
        <v/>
      </c>
    </row>
    <row r="31">
      <c r="A31" s="8" t="n">
        <v>2</v>
      </c>
      <c r="B31" s="8" t="n">
        <v>3</v>
      </c>
      <c r="C31" s="8" t="inlineStr">
        <is>
          <t>Learn</t>
        </is>
      </c>
      <c r="D31" s="8" t="n">
        <v>2</v>
      </c>
      <c r="E31" s="9" t="n">
        <v>280</v>
      </c>
      <c r="F31" s="8">
        <f>IF(E31&lt;=15000,"Pass","Fail")</f>
        <v/>
      </c>
    </row>
    <row r="32">
      <c r="A32" s="8" t="n">
        <v>2</v>
      </c>
      <c r="B32" s="8" t="n">
        <v>3</v>
      </c>
      <c r="C32" s="8" t="inlineStr">
        <is>
          <t>Wallet</t>
        </is>
      </c>
      <c r="D32" s="8" t="n">
        <v>3</v>
      </c>
      <c r="E32" s="9" t="n">
        <v>228</v>
      </c>
      <c r="F32" s="8">
        <f>IF(E32&lt;=15000,"Pass","Fail")</f>
        <v/>
      </c>
    </row>
    <row r="33">
      <c r="A33" s="8" t="n">
        <v>2</v>
      </c>
      <c r="B33" s="8" t="n">
        <v>3</v>
      </c>
      <c r="C33" s="8" t="inlineStr">
        <is>
          <t>Profile</t>
        </is>
      </c>
      <c r="D33" s="8" t="n">
        <v>4</v>
      </c>
      <c r="E33" s="9" t="n">
        <v>293</v>
      </c>
      <c r="F33" s="8">
        <f>IF(E33&lt;=15000,"Pass","Fail")</f>
        <v/>
      </c>
    </row>
    <row r="34">
      <c r="A34" s="8" t="n">
        <v>2</v>
      </c>
      <c r="B34" s="8" t="n">
        <v>3</v>
      </c>
      <c r="C34" s="8" t="inlineStr">
        <is>
          <t>Home</t>
        </is>
      </c>
      <c r="D34" s="8" t="n">
        <v>5</v>
      </c>
      <c r="E34" s="9" t="n">
        <v>347</v>
      </c>
      <c r="F34" s="8">
        <f>IF(E34&lt;=15000,"Pass","Fail")</f>
        <v/>
      </c>
    </row>
    <row r="35">
      <c r="A35" s="8" t="n">
        <v>3</v>
      </c>
      <c r="B35" s="8" t="n">
        <v>1</v>
      </c>
      <c r="C35" s="8" t="inlineStr">
        <is>
          <t>Game Map</t>
        </is>
      </c>
      <c r="D35" s="8" t="n">
        <v>1</v>
      </c>
      <c r="E35" s="9" t="n">
        <v>365</v>
      </c>
      <c r="F35" s="8">
        <f>IF(E35&lt;=15000,"Pass","Fail")</f>
        <v/>
      </c>
    </row>
    <row r="36">
      <c r="A36" s="8" t="n">
        <v>3</v>
      </c>
      <c r="B36" s="8" t="n">
        <v>1</v>
      </c>
      <c r="C36" s="8" t="inlineStr">
        <is>
          <t>Learn</t>
        </is>
      </c>
      <c r="D36" s="8" t="n">
        <v>2</v>
      </c>
      <c r="E36" s="9" t="n">
        <v>415</v>
      </c>
      <c r="F36" s="8">
        <f>IF(E36&lt;=15000,"Pass","Fail")</f>
        <v/>
      </c>
    </row>
    <row r="37">
      <c r="A37" s="8" t="n">
        <v>3</v>
      </c>
      <c r="B37" s="8" t="n">
        <v>1</v>
      </c>
      <c r="C37" s="8" t="inlineStr">
        <is>
          <t>Wallet</t>
        </is>
      </c>
      <c r="D37" s="8" t="n">
        <v>3</v>
      </c>
      <c r="E37" s="9" t="n">
        <v>340</v>
      </c>
      <c r="F37" s="8">
        <f>IF(E37&lt;=15000,"Pass","Fail")</f>
        <v/>
      </c>
    </row>
    <row r="38">
      <c r="A38" s="8" t="n">
        <v>3</v>
      </c>
      <c r="B38" s="8" t="n">
        <v>1</v>
      </c>
      <c r="C38" s="8" t="inlineStr">
        <is>
          <t>Profile</t>
        </is>
      </c>
      <c r="D38" s="8" t="n">
        <v>4</v>
      </c>
      <c r="E38" s="9" t="n">
        <v>378</v>
      </c>
      <c r="F38" s="8">
        <f>IF(E38&lt;=15000,"Pass","Fail")</f>
        <v/>
      </c>
    </row>
    <row r="39">
      <c r="A39" s="8" t="n">
        <v>3</v>
      </c>
      <c r="B39" s="8" t="n">
        <v>1</v>
      </c>
      <c r="C39" s="8" t="inlineStr">
        <is>
          <t>Home</t>
        </is>
      </c>
      <c r="D39" s="8" t="n">
        <v>5</v>
      </c>
      <c r="E39" s="9" t="n">
        <v>390</v>
      </c>
      <c r="F39" s="8">
        <f>IF(E39&lt;=15000,"Pass","Fail")</f>
        <v/>
      </c>
    </row>
    <row r="40">
      <c r="A40" s="8" t="n">
        <v>3</v>
      </c>
      <c r="B40" s="8" t="n">
        <v>2</v>
      </c>
      <c r="C40" s="8" t="inlineStr">
        <is>
          <t>Game Map</t>
        </is>
      </c>
      <c r="D40" s="8" t="n">
        <v>1</v>
      </c>
      <c r="E40" s="9" t="n">
        <v>286</v>
      </c>
      <c r="F40" s="8">
        <f>IF(E40&lt;=15000,"Pass","Fail")</f>
        <v/>
      </c>
    </row>
    <row r="41">
      <c r="A41" s="8" t="n">
        <v>3</v>
      </c>
      <c r="B41" s="8" t="n">
        <v>2</v>
      </c>
      <c r="C41" s="8" t="inlineStr">
        <is>
          <t>Learn</t>
        </is>
      </c>
      <c r="D41" s="8" t="n">
        <v>2</v>
      </c>
      <c r="E41" s="9" t="n">
        <v>334</v>
      </c>
      <c r="F41" s="8">
        <f>IF(E41&lt;=15000,"Pass","Fail")</f>
        <v/>
      </c>
    </row>
    <row r="42">
      <c r="A42" s="8" t="n">
        <v>3</v>
      </c>
      <c r="B42" s="8" t="n">
        <v>2</v>
      </c>
      <c r="C42" s="8" t="inlineStr">
        <is>
          <t>Wallet</t>
        </is>
      </c>
      <c r="D42" s="8" t="n">
        <v>3</v>
      </c>
      <c r="E42" s="9" t="n">
        <v>280</v>
      </c>
      <c r="F42" s="8">
        <f>IF(E42&lt;=15000,"Pass","Fail")</f>
        <v/>
      </c>
    </row>
    <row r="43">
      <c r="A43" s="8" t="n">
        <v>3</v>
      </c>
      <c r="B43" s="8" t="n">
        <v>2</v>
      </c>
      <c r="C43" s="8" t="inlineStr">
        <is>
          <t>Profile</t>
        </is>
      </c>
      <c r="D43" s="8" t="n">
        <v>4</v>
      </c>
      <c r="E43" s="9" t="n">
        <v>324</v>
      </c>
      <c r="F43" s="8">
        <f>IF(E43&lt;=15000,"Pass","Fail")</f>
        <v/>
      </c>
    </row>
    <row r="44">
      <c r="A44" s="8" t="n">
        <v>3</v>
      </c>
      <c r="B44" s="8" t="n">
        <v>2</v>
      </c>
      <c r="C44" s="8" t="inlineStr">
        <is>
          <t>Home</t>
        </is>
      </c>
      <c r="D44" s="8" t="n">
        <v>5</v>
      </c>
      <c r="E44" s="9" t="n">
        <v>334</v>
      </c>
      <c r="F44" s="8">
        <f>IF(E44&lt;=15000,"Pass","Fail")</f>
        <v/>
      </c>
    </row>
    <row r="45">
      <c r="A45" s="8" t="n">
        <v>3</v>
      </c>
      <c r="B45" s="8" t="n">
        <v>3</v>
      </c>
      <c r="C45" s="8" t="inlineStr">
        <is>
          <t>Game Map</t>
        </is>
      </c>
      <c r="D45" s="8" t="n">
        <v>1</v>
      </c>
      <c r="E45" s="9" t="n">
        <v>234</v>
      </c>
      <c r="F45" s="8">
        <f>IF(E45&lt;=15000,"Pass","Fail")</f>
        <v/>
      </c>
    </row>
    <row r="46">
      <c r="A46" s="8" t="n">
        <v>3</v>
      </c>
      <c r="B46" s="8" t="n">
        <v>3</v>
      </c>
      <c r="C46" s="8" t="inlineStr">
        <is>
          <t>Learn</t>
        </is>
      </c>
      <c r="D46" s="8" t="n">
        <v>2</v>
      </c>
      <c r="E46" s="9" t="n">
        <v>336</v>
      </c>
      <c r="F46" s="8">
        <f>IF(E46&lt;=15000,"Pass","Fail")</f>
        <v/>
      </c>
    </row>
    <row r="47">
      <c r="A47" s="8" t="n">
        <v>3</v>
      </c>
      <c r="B47" s="8" t="n">
        <v>3</v>
      </c>
      <c r="C47" s="8" t="inlineStr">
        <is>
          <t>Wallet</t>
        </is>
      </c>
      <c r="D47" s="8" t="n">
        <v>3</v>
      </c>
      <c r="E47" s="9" t="n">
        <v>256</v>
      </c>
      <c r="F47" s="8">
        <f>IF(E47&lt;=15000,"Pass","Fail")</f>
        <v/>
      </c>
    </row>
    <row r="48">
      <c r="A48" s="8" t="n">
        <v>3</v>
      </c>
      <c r="B48" s="8" t="n">
        <v>3</v>
      </c>
      <c r="C48" s="8" t="inlineStr">
        <is>
          <t>Profile</t>
        </is>
      </c>
      <c r="D48" s="8" t="n">
        <v>4</v>
      </c>
      <c r="E48" s="9" t="n">
        <v>286</v>
      </c>
      <c r="F48" s="8">
        <f>IF(E48&lt;=15000,"Pass","Fail")</f>
        <v/>
      </c>
    </row>
    <row r="49">
      <c r="A49" s="8" t="n">
        <v>3</v>
      </c>
      <c r="B49" s="8" t="n">
        <v>3</v>
      </c>
      <c r="C49" s="8" t="inlineStr">
        <is>
          <t>Home</t>
        </is>
      </c>
      <c r="D49" s="8" t="n">
        <v>5</v>
      </c>
      <c r="E49" s="9" t="n">
        <v>301</v>
      </c>
      <c r="F49" s="8">
        <f>IF(E49&lt;=15000,"Pass","Fail")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3" customWidth="1" min="4" max="4"/>
    <col width="16" customWidth="1" min="5" max="5"/>
    <col width="16" customWidth="1" min="6" max="6"/>
    <col width="9" customWidth="1" min="7" max="7"/>
  </cols>
  <sheetData>
    <row r="1">
      <c r="A1" s="1" t="inlineStr">
        <is>
          <t>I-048 - sustained input on a live round</t>
        </is>
      </c>
    </row>
    <row r="2">
      <c r="A2" t="inlineStr">
        <is>
          <t>Each cycle: type A-D-O-B-O, check all 5 letters are on the board, press erase 5 times, check they are gone. ENTER is never pressed.</t>
        </is>
      </c>
    </row>
    <row r="4">
      <c r="A4" s="4" t="inlineStr">
        <is>
          <t>Run</t>
        </is>
      </c>
      <c r="B4" s="4" t="inlineStr">
        <is>
          <t>Cycles</t>
        </is>
      </c>
      <c r="C4" s="4" t="inlineStr">
        <is>
          <t>Key presses</t>
        </is>
      </c>
      <c r="D4" s="4" t="inlineStr">
        <is>
          <t>Total time (s)</t>
        </is>
      </c>
      <c r="E4" s="4" t="inlineStr">
        <is>
          <t>Time per cycle (s)</t>
        </is>
      </c>
      <c r="F4" s="4" t="inlineStr">
        <is>
          <t>Board mismatches</t>
        </is>
      </c>
      <c r="G4" s="4" t="inlineStr">
        <is>
          <t>Result</t>
        </is>
      </c>
    </row>
    <row r="5">
      <c r="A5" s="8" t="n">
        <v>1</v>
      </c>
      <c r="B5" s="9" t="n">
        <v>50</v>
      </c>
      <c r="C5" s="9" t="n">
        <v>500</v>
      </c>
      <c r="D5" s="9" t="n">
        <v>61.53</v>
      </c>
      <c r="E5" s="8">
        <f>ROUND(D5/B5,2)</f>
        <v/>
      </c>
      <c r="F5" s="9" t="n">
        <v>0</v>
      </c>
      <c r="G5" s="8">
        <f>IF(F5=0,"Pass","Fail")</f>
        <v/>
      </c>
    </row>
    <row r="6">
      <c r="A6" s="8" t="n">
        <v>2</v>
      </c>
      <c r="B6" s="9" t="n">
        <v>50</v>
      </c>
      <c r="C6" s="9" t="n">
        <v>500</v>
      </c>
      <c r="D6" s="9" t="n">
        <v>66.58</v>
      </c>
      <c r="E6" s="8">
        <f>ROUND(D6/B6,2)</f>
        <v/>
      </c>
      <c r="F6" s="9" t="n">
        <v>0</v>
      </c>
      <c r="G6" s="8">
        <f>IF(F6=0,"Pass","Fail")</f>
        <v/>
      </c>
    </row>
    <row r="7">
      <c r="A7" s="8" t="n">
        <v>3</v>
      </c>
      <c r="B7" s="9" t="n">
        <v>50</v>
      </c>
      <c r="C7" s="9" t="n">
        <v>500</v>
      </c>
      <c r="D7" s="9" t="n">
        <v>62.73</v>
      </c>
      <c r="E7" s="8">
        <f>ROUND(D7/B7,2)</f>
        <v/>
      </c>
      <c r="F7" s="9" t="n">
        <v>0</v>
      </c>
      <c r="G7" s="8">
        <f>IF(F7=0,"Pass","Fail")</f>
        <v/>
      </c>
    </row>
    <row r="8">
      <c r="A8" s="10" t="inlineStr">
        <is>
          <t>Total</t>
        </is>
      </c>
      <c r="B8" s="10">
        <f>SUM(B5:B7)</f>
        <v/>
      </c>
      <c r="C8" s="10">
        <f>SUM(C5:C7)</f>
        <v/>
      </c>
      <c r="D8" s="10">
        <f>SUM(D5:D7)</f>
        <v/>
      </c>
      <c r="E8" s="10">
        <f>ROUND(D8/B8,2)</f>
        <v/>
      </c>
      <c r="F8" s="10">
        <f>SUM(F5:F7)</f>
        <v/>
      </c>
      <c r="G8" s="10" t="n"/>
    </row>
    <row r="10">
      <c r="A10" t="inlineStr">
        <is>
          <t>A mismatch stops the test at once (JUnit assertEquals), so a passed run means 0 mismatches across all its cycles.</t>
        </is>
      </c>
    </row>
    <row r="11">
      <c r="A11" t="inlineStr">
        <is>
          <t>About 1.3 s per cycle includes the test tool reading the whole screen after every word and every erase; it is not how fast a player types.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rerun</t>
        </is>
      </c>
    </row>
    <row r="3">
      <c r="A3" t="inlineStr">
        <is>
          <t>1. Sign in to Kusina Kode once on the device or emulator (the test never types a password).</t>
        </is>
      </c>
    </row>
    <row r="4">
      <c r="A4" t="inlineStr">
        <is>
          <t>2. From the app repo: ./gradlew installDebug installDebugAndroidTest</t>
        </is>
      </c>
    </row>
    <row r="5">
      <c r="A5" t="inlineStr">
        <is>
          <t>3. adb shell am instrument -w -e class com.example.kusinakode.GameNavigationStressTest ph.kusinakode.app.test/androidx.test.runner.AndroidJUnitRunner</t>
        </is>
      </c>
    </row>
    <row r="6">
      <c r="A6" t="inlineStr">
        <is>
          <t>4. Timings: adb logcat -d -s KKTEST</t>
        </is>
      </c>
    </row>
    <row r="7">
      <c r="A7" t="inlineStr">
        <is>
          <t>Do not use connectedDebugAndroidTest: it uninstalls the app at the end, which signs the device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2026-10-10T03:36:26Z</dcterms:created>
  <dcterms:modified xmlns:dcterms="http://purl.org/dc/terms/" xmlns:xsi="http://www.w3.org/2001/XMLSchema-instance" xsi:type="dcterms:W3CDTF">2026-10-10T03:36:26Z</dcterms:modified>
</cp:coreProperties>
</file>